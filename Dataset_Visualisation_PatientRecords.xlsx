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URESH BABU C\Documents\SNEHA\VIRTUAL WORKS LAB INTERNSHIP\DA\"/>
    </mc:Choice>
  </mc:AlternateContent>
  <xr:revisionPtr revIDLastSave="0" documentId="13_ncr:1_{14A6324F-9ED9-476A-8352-F4FBDD14180E}" xr6:coauthVersionLast="47" xr6:coauthVersionMax="47" xr10:uidLastSave="{00000000-0000-0000-0000-000000000000}"/>
  <bookViews>
    <workbookView xWindow="-108" yWindow="-108" windowWidth="23256" windowHeight="12456" activeTab="1" xr2:uid="{00000000-000D-0000-FFFF-FFFF00000000}"/>
  </bookViews>
  <sheets>
    <sheet name="Data_Cleaning_And_Basic_Analysi" sheetId="1" r:id="rId1"/>
    <sheet name="Patient Records(CLEAN&amp;ANALYSED)" sheetId="2" r:id="rId2"/>
    <sheet name="DATA VISUALIZATION" sheetId="3" r:id="rId3"/>
  </sheets>
  <definedNames>
    <definedName name="_xlnm._FilterDatabase" localSheetId="1" hidden="1">'Patient Records(CLEAN&amp;ANALYSED)'!$J$17:$K$23</definedName>
    <definedName name="Slicer_AGE">#N/A</definedName>
    <definedName name="Slicer_DISEASE">#N/A</definedName>
    <definedName name="Slicer_DISEASE1">#N/A</definedName>
    <definedName name="Slicer_DOSAGE__MG">#N/A</definedName>
    <definedName name="Slicer_GENDER">#N/A</definedName>
    <definedName name="Slicer_MEDI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 i="1" l="1"/>
  <c r="J6" i="1"/>
  <c r="J5" i="1"/>
  <c r="J4" i="1"/>
  <c r="J3" i="1" a="1"/>
  <c r="J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<sst xmlns="http://schemas.openxmlformats.org/spreadsheetml/2006/main" count="161" uniqueCount="58">
  <si>
    <t>PATIENT ID</t>
  </si>
  <si>
    <t>AGE</t>
  </si>
  <si>
    <t>GENDER</t>
  </si>
  <si>
    <t>DISEASE</t>
  </si>
  <si>
    <t>MEDICATION</t>
  </si>
  <si>
    <t>DOSAGE (MG)</t>
  </si>
  <si>
    <t>P001</t>
  </si>
  <si>
    <t>Female</t>
  </si>
  <si>
    <t>Flu</t>
  </si>
  <si>
    <t>Paracetamol</t>
  </si>
  <si>
    <t>P002</t>
  </si>
  <si>
    <t>Male</t>
  </si>
  <si>
    <t>Hypertension</t>
  </si>
  <si>
    <t>Amlodipine</t>
  </si>
  <si>
    <t>P003</t>
  </si>
  <si>
    <t>Diabetes</t>
  </si>
  <si>
    <t>Metformin</t>
  </si>
  <si>
    <t>P004</t>
  </si>
  <si>
    <t>Asthma</t>
  </si>
  <si>
    <t>Salbutamol</t>
  </si>
  <si>
    <t>P005</t>
  </si>
  <si>
    <t>Arthritis</t>
  </si>
  <si>
    <t>Ibuprofen</t>
  </si>
  <si>
    <t>P006</t>
  </si>
  <si>
    <t>P007</t>
  </si>
  <si>
    <t>P008</t>
  </si>
  <si>
    <t>P009</t>
  </si>
  <si>
    <t>P010</t>
  </si>
  <si>
    <t>P011</t>
  </si>
  <si>
    <t>P012</t>
  </si>
  <si>
    <t>DUPLICATE PATIENT IDS</t>
  </si>
  <si>
    <t>MISSING ENTRIES</t>
  </si>
  <si>
    <t>MISSING DISEASE ENTRIES</t>
  </si>
  <si>
    <t>MISSING MEDICATION ENTRIES</t>
  </si>
  <si>
    <t>MISSING DOSAGE ENTRIES</t>
  </si>
  <si>
    <t>YELLOW = MISSING ENTRIES</t>
  </si>
  <si>
    <t>Grand Total</t>
  </si>
  <si>
    <t>20-29</t>
  </si>
  <si>
    <t>30-39</t>
  </si>
  <si>
    <t>40-49</t>
  </si>
  <si>
    <t>50-59</t>
  </si>
  <si>
    <t>60-69</t>
  </si>
  <si>
    <t>Disease</t>
  </si>
  <si>
    <t>Number of Patients</t>
  </si>
  <si>
    <t>Number of Female patients</t>
  </si>
  <si>
    <t>Number of Male patients</t>
  </si>
  <si>
    <t xml:space="preserve"> </t>
  </si>
  <si>
    <t>Medication</t>
  </si>
  <si>
    <t>DOSAGE(MG)</t>
  </si>
  <si>
    <t>Number of Patients Visited</t>
  </si>
  <si>
    <t>RED TEXT WITH LIGHT RED BACKGROUND = DUPLICATE ENTRIES</t>
  </si>
  <si>
    <t>SUMMARY OF ERRORS</t>
  </si>
  <si>
    <t>Age Group(years)</t>
  </si>
  <si>
    <t>Visualization of disease distribution</t>
  </si>
  <si>
    <t>Dosage Distribution</t>
  </si>
  <si>
    <t xml:space="preserve">Gender wise Disease distribution </t>
  </si>
  <si>
    <t>Frequency of Diseases</t>
  </si>
  <si>
    <t>Age group wise Disease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</si>
</sst>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name val="Arial"/>
    </font>
    <font>
      <b/>
      <sz val="10"/>
      <name val="Arial"/>
    </font>
    <font>
      <sz val="11"/>
      <name val="Arial"/>
      <family val="2"/>
    </font>
    <font>
      <b/>
      <sz val="10"/>
      <name val="Arial"/>
      <family val="2"/>
    </font>
    <font>
      <sz val="11"/>
      <color theme="5"/>
      <name val="Calibri"/>
      <family val="2"/>
      <scheme val="minor"/>
    </font>
    <font>
      <b/>
      <sz val="10"/>
      <color theme="5"/>
      <name val="Arial"/>
      <family val="2"/>
    </font>
    <font>
      <b/>
      <sz val="11"/>
      <name val="Arial"/>
      <family val="2"/>
    </font>
    <font>
      <sz val="11"/>
      <color theme="1"/>
      <name val="Arial"/>
      <family val="2"/>
    </font>
    <font>
      <b/>
      <sz val="11"/>
      <color theme="1"/>
      <name val="Arial"/>
      <family val="2"/>
    </font>
    <font>
      <b/>
      <sz val="14"/>
      <color theme="1"/>
      <name val="Calibri"/>
      <family val="2"/>
      <scheme val="minor"/>
    </font>
  </fonts>
  <fills count="13">
    <fill>
      <patternFill patternType="none"/>
    </fill>
    <fill>
      <patternFill patternType="gray125"/>
    </fill>
    <fill>
      <patternFill patternType="solid">
        <fgColor rgb="FFD9EAD3"/>
        <bgColor rgb="FFD9EAD3"/>
      </patternFill>
    </fill>
    <fill>
      <patternFill patternType="solid">
        <fgColor rgb="FFFFF2CC"/>
        <bgColor rgb="FFFFF2CC"/>
      </patternFill>
    </fill>
    <fill>
      <patternFill patternType="solid">
        <fgColor rgb="FFFFFF00"/>
        <bgColor indexed="64"/>
      </patternFill>
    </fill>
    <fill>
      <patternFill patternType="solid">
        <fgColor rgb="FFFFFF00"/>
        <bgColor rgb="FFFFF2CC"/>
      </patternFill>
    </fill>
    <fill>
      <patternFill patternType="solid">
        <fgColor theme="5" tint="0.79998168889431442"/>
        <bgColor rgb="FFD9EAD3"/>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bgColor rgb="FF1F4E78"/>
      </patternFill>
    </fill>
    <fill>
      <patternFill patternType="solid">
        <fgColor theme="1"/>
        <bgColor indexed="64"/>
      </patternFill>
    </fill>
    <fill>
      <patternFill patternType="solid">
        <fgColor theme="3" tint="0.79998168889431442"/>
        <bgColor indexed="64"/>
      </patternFill>
    </fill>
    <fill>
      <patternFill patternType="solid">
        <fgColor theme="3" tint="0.59999389629810485"/>
        <bgColor indexed="64"/>
      </patternFill>
    </fill>
  </fills>
  <borders count="18">
    <border>
      <left/>
      <right/>
      <top/>
      <bottom/>
      <diagonal/>
    </border>
    <border>
      <left style="thin">
        <color rgb="FFB7B7B7"/>
      </left>
      <right style="thin">
        <color rgb="FFB7B7B7"/>
      </right>
      <top style="thin">
        <color rgb="FFB7B7B7"/>
      </top>
      <bottom style="thin">
        <color rgb="FFB7B7B7"/>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0" borderId="0" xfId="0" applyFont="1"/>
    <xf numFmtId="0" fontId="4" fillId="5" borderId="2" xfId="0" applyFont="1" applyFill="1" applyBorder="1"/>
    <xf numFmtId="0" fontId="0" fillId="4" borderId="3" xfId="0" applyFill="1" applyBorder="1"/>
    <xf numFmtId="0" fontId="6" fillId="6" borderId="4" xfId="0" applyFont="1" applyFill="1" applyBorder="1"/>
    <xf numFmtId="0" fontId="5" fillId="7" borderId="5" xfId="0" applyFont="1" applyFill="1" applyBorder="1"/>
    <xf numFmtId="0" fontId="3" fillId="0" borderId="1" xfId="0" applyFont="1" applyBorder="1" applyAlignment="1">
      <alignment horizontal="center" vertical="center"/>
    </xf>
    <xf numFmtId="0" fontId="5" fillId="0" borderId="0" xfId="0" applyFont="1"/>
    <xf numFmtId="0" fontId="7" fillId="9" borderId="1" xfId="0" applyFont="1" applyFill="1" applyBorder="1" applyAlignment="1">
      <alignment horizontal="center" vertical="center"/>
    </xf>
    <xf numFmtId="0" fontId="0" fillId="10" borderId="0" xfId="0" applyFill="1"/>
    <xf numFmtId="0" fontId="7" fillId="8" borderId="14" xfId="0" applyFont="1" applyFill="1" applyBorder="1" applyAlignment="1">
      <alignment horizontal="centerContinuous"/>
    </xf>
    <xf numFmtId="0" fontId="0" fillId="8" borderId="15" xfId="0" applyFill="1" applyBorder="1" applyAlignment="1">
      <alignment horizontal="centerContinuous"/>
    </xf>
    <xf numFmtId="0" fontId="3" fillId="0" borderId="16" xfId="0" applyFont="1" applyBorder="1" applyAlignment="1">
      <alignment horizontal="center"/>
    </xf>
    <xf numFmtId="0" fontId="8" fillId="0" borderId="17" xfId="0" applyFont="1" applyBorder="1" applyAlignment="1">
      <alignment horizontal="center"/>
    </xf>
    <xf numFmtId="0" fontId="3" fillId="0" borderId="4" xfId="0" applyFont="1" applyBorder="1" applyAlignment="1">
      <alignment horizontal="center"/>
    </xf>
    <xf numFmtId="0" fontId="8" fillId="0" borderId="5" xfId="0" applyFont="1" applyBorder="1" applyAlignment="1">
      <alignment horizontal="center"/>
    </xf>
    <xf numFmtId="0" fontId="8" fillId="0" borderId="0" xfId="0" applyFont="1"/>
    <xf numFmtId="0" fontId="8" fillId="0" borderId="0" xfId="0" applyFont="1" applyAlignment="1">
      <alignment horizontal="center"/>
    </xf>
    <xf numFmtId="0" fontId="0" fillId="0" borderId="6" xfId="0" applyBorder="1"/>
    <xf numFmtId="0" fontId="9" fillId="11" borderId="6" xfId="0" applyFont="1" applyFill="1" applyBorder="1" applyAlignment="1">
      <alignment horizontal="center"/>
    </xf>
    <xf numFmtId="0" fontId="8" fillId="0" borderId="6" xfId="0" pivotButton="1" applyFont="1" applyBorder="1" applyAlignment="1">
      <alignment horizontal="center"/>
    </xf>
    <xf numFmtId="0" fontId="8" fillId="0" borderId="6"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8" fillId="0" borderId="7" xfId="0" applyFont="1" applyBorder="1" applyAlignment="1">
      <alignment horizontal="center"/>
    </xf>
    <xf numFmtId="0" fontId="10" fillId="12" borderId="0" xfId="0" applyFont="1" applyFill="1" applyAlignment="1">
      <alignment horizontal="center"/>
    </xf>
    <xf numFmtId="0" fontId="0" fillId="12" borderId="0" xfId="0" applyFill="1" applyAlignment="1">
      <alignment horizontal="center"/>
    </xf>
    <xf numFmtId="0" fontId="0" fillId="12" borderId="0" xfId="0" applyFill="1"/>
    <xf numFmtId="0" fontId="10" fillId="12" borderId="0" xfId="0" applyFont="1" applyFill="1"/>
    <xf numFmtId="0" fontId="9" fillId="12" borderId="0" xfId="0" applyFont="1" applyFill="1" applyAlignment="1">
      <alignment horizontal="center" wrapText="1"/>
    </xf>
    <xf numFmtId="0" fontId="8" fillId="12" borderId="6" xfId="0" applyFont="1" applyFill="1" applyBorder="1" applyAlignment="1">
      <alignment horizontal="center" wrapText="1"/>
    </xf>
    <xf numFmtId="0" fontId="8" fillId="12" borderId="6" xfId="0" applyFont="1" applyFill="1" applyBorder="1" applyAlignment="1">
      <alignment horizontal="center"/>
    </xf>
    <xf numFmtId="0" fontId="8" fillId="12" borderId="12" xfId="0" applyFont="1" applyFill="1" applyBorder="1" applyAlignment="1">
      <alignment horizontal="center"/>
    </xf>
    <xf numFmtId="0" fontId="8" fillId="12" borderId="11" xfId="0" applyFont="1" applyFill="1" applyBorder="1" applyAlignment="1">
      <alignment horizontal="center"/>
    </xf>
    <xf numFmtId="0" fontId="8" fillId="12" borderId="13" xfId="0" applyFont="1" applyFill="1" applyBorder="1" applyAlignment="1">
      <alignment horizontal="center"/>
    </xf>
    <xf numFmtId="0" fontId="0" fillId="12" borderId="6" xfId="0" applyFill="1" applyBorder="1"/>
    <xf numFmtId="0" fontId="8" fillId="0" borderId="8" xfId="0" applyNumberFormat="1" applyFont="1" applyBorder="1" applyAlignment="1">
      <alignment horizontal="center"/>
    </xf>
    <xf numFmtId="0" fontId="8" fillId="0" borderId="10" xfId="0" applyNumberFormat="1" applyFont="1" applyBorder="1" applyAlignment="1">
      <alignment horizontal="center"/>
    </xf>
    <xf numFmtId="0" fontId="8" fillId="0" borderId="9" xfId="0" applyNumberFormat="1" applyFont="1" applyBorder="1" applyAlignment="1">
      <alignment horizontal="center"/>
    </xf>
  </cellXfs>
  <cellStyles count="1">
    <cellStyle name="Normal" xfId="0" builtinId="0"/>
  </cellStyles>
  <dxfs count="298">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right/>
        <top/>
        <bottom/>
      </border>
    </dxf>
    <dxf>
      <border>
        <left style="thin">
          <color indexed="64"/>
        </lef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right/>
        <top/>
        <bottom/>
      </border>
    </dxf>
    <dxf>
      <border>
        <left style="thin">
          <color indexed="64"/>
        </lef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right/>
        <top/>
        <bottom/>
      </border>
    </dxf>
    <dxf>
      <border>
        <left style="thin">
          <color indexed="64"/>
        </lef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right/>
        <top/>
        <bottom/>
      </border>
    </dxf>
    <dxf>
      <border>
        <left style="thin">
          <color indexed="64"/>
        </lef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right/>
        <top/>
        <bottom/>
      </border>
    </dxf>
    <dxf>
      <border>
        <left style="thin">
          <color indexed="64"/>
        </left>
      </border>
    </dxf>
    <dxf>
      <border>
        <right style="thin">
          <color indexed="64"/>
        </right>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rgb="FF9C0006"/>
      </font>
      <fill>
        <patternFill>
          <bgColor rgb="FFFFC7CE"/>
        </patternFill>
      </fill>
    </dxf>
    <dxf>
      <fill>
        <patternFill>
          <bgColor rgb="FFFFFF00"/>
        </patternFill>
      </fill>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horizontal="center"/>
    </dxf>
    <dxf>
      <alignment horizontal="center"/>
    </dxf>
    <dxf>
      <alignment horizontal="cent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horizontal="center"/>
    </dxf>
    <dxf>
      <alignment horizontal="center"/>
    </dxf>
    <dxf>
      <alignment horizontal="center"/>
    </dxf>
    <dxf>
      <alignment horizontal="cent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[Dataset_Visualisation_PatientRecords.xlsx]Patient Records(CLEAN&amp;ANALYSED)!PivotTable2</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Frequency of diseases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'Patient Records(CLEAN&amp;ANALYSED)'!$K$2</c:f>
              <c:strCache>
                <c:ptCount val="1"/>
                <c:pt idx="0">
                  <c:v>Total</c:v>
                </c:pt>
              </c:strCache>
            </c:strRef>
          </c:tx>
          <c:spPr>
            <a:solidFill>
              <a:schemeClr val="accent1"/>
            </a:solidFill>
            <a:ln>
              <a:noFill/>
            </a:ln>
            <a:effectLst/>
          </c:spPr>
          <c:invertIfNegative val="0"/>
          <c:cat>
            <c:strRef>
              <c:f>'Patient Records(CLEAN&amp;ANALYSED)'!$J$3:$J$8</c:f>
              <c:strCache>
                <c:ptCount val="5"/>
                <c:pt idx="0">
                  <c:v>Hypertension</c:v>
                </c:pt>
                <c:pt idx="1">
                  <c:v>Flu</c:v>
                </c:pt>
                <c:pt idx="2">
                  <c:v>Diabetes</c:v>
                </c:pt>
                <c:pt idx="3">
                  <c:v>Asthma</c:v>
                </c:pt>
                <c:pt idx="4">
                  <c:v>Arthritis</c:v>
                </c:pt>
              </c:strCache>
            </c:strRef>
          </c:cat>
          <c:val>
            <c:numRef>
              <c:f>'Patient Records(CLEAN&amp;ANALYSED)'!$K$3:$K$8</c:f>
              <c:numCache>
                <c:formatCode>General</c:formatCode>
                <c:ptCount val="5"/>
                <c:pt idx="0">
                  <c:v>2</c:v>
                </c:pt>
                <c:pt idx="1">
                  <c:v>4</c:v>
                </c:pt>
                <c:pt idx="2">
                  <c:v>2</c:v>
                </c:pt>
                <c:pt idx="3">
                  <c:v>1</c:v>
                </c:pt>
                <c:pt idx="4">
                  <c:v>3</c:v>
                </c:pt>
              </c:numCache>
            </c:numRef>
          </c:val>
          <c:extLst>
            <c:ext xmlns:c16="http://schemas.microsoft.com/office/drawing/2014/chart" uri="{C3380CC4-5D6E-409C-BE32-E72D297353CC}">
              <c16:uniqueId val="{00000000-F68B-4878-8400-C6A57D5AF3AD}"/>
            </c:ext>
          </c:extLst>
        </c:ser>
        <c:dLbls>
          <c:showLegendKey val="0"/>
          <c:showVal val="0"/>
          <c:showCatName val="0"/>
          <c:showSerName val="0"/>
          <c:showPercent val="0"/>
          <c:showBubbleSize val="0"/>
        </c:dLbls>
        <c:gapWidth val="267"/>
        <c:overlap val="-43"/>
        <c:axId val="436814448"/>
        <c:axId val="352481120"/>
      </c:barChart>
      <c:catAx>
        <c:axId val="4368144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52481120"/>
        <c:crosses val="autoZero"/>
        <c:auto val="1"/>
        <c:lblAlgn val="ctr"/>
        <c:lblOffset val="100"/>
        <c:noMultiLvlLbl val="0"/>
      </c:catAx>
      <c:valAx>
        <c:axId val="3524811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3681444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[Dataset_Visualisation_PatientRecords.xlsx]Patient Records(CLEAN&amp;ANALYSED)!PivotTable1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DOSAGE</a:t>
            </a:r>
            <a:r>
              <a:rPr lang="en-US" b="1" baseline="0"/>
              <a:t> DISTRIBUTION</a:t>
            </a:r>
            <a:endParaRPr lang="en-US" b="1"/>
          </a:p>
        </c:rich>
      </c:tx>
      <c:layout>
        <c:manualLayout>
          <c:xMode val="edge"/>
          <c:yMode val="edge"/>
          <c:x val="0.3413748906386701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880358705161854"/>
          <c:y val="0.16143299795858848"/>
          <c:w val="0.58552974628171484"/>
          <c:h val="0.6293157626130067"/>
        </c:manualLayout>
      </c:layout>
      <c:barChart>
        <c:barDir val="bar"/>
        <c:grouping val="clustered"/>
        <c:varyColors val="0"/>
        <c:ser>
          <c:idx val="0"/>
          <c:order val="0"/>
          <c:tx>
            <c:strRef>
              <c:f>'Patient Records(CLEAN&amp;ANALYSED)'!$N$2</c:f>
              <c:strCache>
                <c:ptCount val="1"/>
                <c:pt idx="0">
                  <c:v>Total</c:v>
                </c:pt>
              </c:strCache>
            </c:strRef>
          </c:tx>
          <c:spPr>
            <a:solidFill>
              <a:schemeClr val="accent2"/>
            </a:solidFill>
            <a:ln>
              <a:noFill/>
            </a:ln>
            <a:effectLst/>
          </c:spPr>
          <c:invertIfNegative val="0"/>
          <c:cat>
            <c:strRef>
              <c:f>'Patient Records(CLEAN&amp;ANALYSED)'!$M$3:$M$7</c:f>
              <c:strCache>
                <c:ptCount val="5"/>
                <c:pt idx="0">
                  <c:v>Paracetamol</c:v>
                </c:pt>
                <c:pt idx="1">
                  <c:v>Metformin</c:v>
                </c:pt>
                <c:pt idx="2">
                  <c:v>Ibuprofen</c:v>
                </c:pt>
                <c:pt idx="3">
                  <c:v>Salbutamol</c:v>
                </c:pt>
                <c:pt idx="4">
                  <c:v>Amlodipine</c:v>
                </c:pt>
              </c:strCache>
            </c:strRef>
          </c:cat>
          <c:val>
            <c:numRef>
              <c:f>'Patient Records(CLEAN&amp;ANALYSED)'!$N$3:$N$7</c:f>
              <c:numCache>
                <c:formatCode>General</c:formatCode>
                <c:ptCount val="5"/>
                <c:pt idx="0">
                  <c:v>500</c:v>
                </c:pt>
                <c:pt idx="1">
                  <c:v>500</c:v>
                </c:pt>
                <c:pt idx="2">
                  <c:v>400</c:v>
                </c:pt>
                <c:pt idx="3">
                  <c:v>100</c:v>
                </c:pt>
                <c:pt idx="4">
                  <c:v>5</c:v>
                </c:pt>
              </c:numCache>
            </c:numRef>
          </c:val>
          <c:extLst>
            <c:ext xmlns:c16="http://schemas.microsoft.com/office/drawing/2014/chart" uri="{C3380CC4-5D6E-409C-BE32-E72D297353CC}">
              <c16:uniqueId val="{00000000-CF9A-428E-940D-2E193ABC1EF5}"/>
            </c:ext>
          </c:extLst>
        </c:ser>
        <c:dLbls>
          <c:showLegendKey val="0"/>
          <c:showVal val="0"/>
          <c:showCatName val="0"/>
          <c:showSerName val="0"/>
          <c:showPercent val="0"/>
          <c:showBubbleSize val="0"/>
        </c:dLbls>
        <c:gapWidth val="182"/>
        <c:axId val="513782000"/>
        <c:axId val="540109472"/>
      </c:barChart>
      <c:catAx>
        <c:axId val="513782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MEDICATION</a:t>
                </a:r>
              </a:p>
            </c:rich>
          </c:tx>
          <c:layout>
            <c:manualLayout>
              <c:xMode val="edge"/>
              <c:yMode val="edge"/>
              <c:x val="0.20081933508311464"/>
              <c:y val="0.378012175561388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109472"/>
        <c:crosses val="autoZero"/>
        <c:auto val="1"/>
        <c:lblAlgn val="ctr"/>
        <c:lblOffset val="100"/>
        <c:noMultiLvlLbl val="0"/>
      </c:catAx>
      <c:valAx>
        <c:axId val="540109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DOSAGE(MG)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78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[Dataset_Visualisation_PatientRecords.xlsx]Patient Records(CLEAN&amp;ANALYSED)!PivotTable3</c:name>
    <c:fmtId val="19"/>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GENDER WISE DISEASE DISTRIBUTION</a:t>
            </a:r>
          </a:p>
        </c:rich>
      </c:tx>
      <c:layout>
        <c:manualLayout>
          <c:xMode val="edge"/>
          <c:yMode val="edge"/>
          <c:x val="0.23260177184155709"/>
          <c:y val="5.4178222059728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4119832442147"/>
          <c:y val="0.21090799380541755"/>
          <c:w val="0.7173730343162692"/>
          <c:h val="0.62307541398774757"/>
        </c:manualLayout>
      </c:layout>
      <c:lineChart>
        <c:grouping val="stacked"/>
        <c:varyColors val="0"/>
        <c:ser>
          <c:idx val="0"/>
          <c:order val="0"/>
          <c:tx>
            <c:strRef>
              <c:f>'Patient Records(CLEAN&amp;ANALYSED)'!$K$10:$K$11</c:f>
              <c:strCache>
                <c:ptCount val="1"/>
                <c:pt idx="0">
                  <c:v>Hypertension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'Patient Records(CLEAN&amp;ANALYSED)'!$J$12:$J$13</c:f>
              <c:strCache>
                <c:ptCount val="2"/>
                <c:pt idx="0">
                  <c:v>Number of Female patients</c:v>
                </c:pt>
                <c:pt idx="1">
                  <c:v>Number of Male patients</c:v>
                </c:pt>
              </c:strCache>
            </c:strRef>
          </c:cat>
          <c:val>
            <c:numRef>
              <c:f>'Patient Records(CLEAN&amp;ANALYSED)'!$K$12:$K$13</c:f>
              <c:numCache>
                <c:formatCode>General</c:formatCode>
                <c:ptCount val="2"/>
                <c:pt idx="0">
                  <c:v>1</c:v>
                </c:pt>
                <c:pt idx="1">
                  <c:v>1</c:v>
                </c:pt>
              </c:numCache>
            </c:numRef>
          </c:val>
          <c:smooth val="0"/>
          <c:extLst>
            <c:ext xmlns:c16="http://schemas.microsoft.com/office/drawing/2014/chart" uri="{C3380CC4-5D6E-409C-BE32-E72D297353CC}">
              <c16:uniqueId val="{00000000-36F2-4C31-AD40-8571AB62A990}"/>
            </c:ext>
          </c:extLst>
        </c:ser>
        <c:ser>
          <c:idx val="1"/>
          <c:order val="1"/>
          <c:tx>
            <c:strRef>
              <c:f>'Patient Records(CLEAN&amp;ANALYSED)'!$L$10:$L$11</c:f>
              <c:strCache>
                <c:ptCount val="1"/>
                <c:pt idx="0">
                  <c:v>Flu</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'Patient Records(CLEAN&amp;ANALYSED)'!$J$12:$J$13</c:f>
              <c:strCache>
                <c:ptCount val="2"/>
                <c:pt idx="0">
                  <c:v>Number of Female patients</c:v>
                </c:pt>
                <c:pt idx="1">
                  <c:v>Number of Male patients</c:v>
                </c:pt>
              </c:strCache>
            </c:strRef>
          </c:cat>
          <c:val>
            <c:numRef>
              <c:f>'Patient Records(CLEAN&amp;ANALYSED)'!$L$12:$L$13</c:f>
              <c:numCache>
                <c:formatCode>General</c:formatCode>
                <c:ptCount val="2"/>
                <c:pt idx="0">
                  <c:v>2</c:v>
                </c:pt>
                <c:pt idx="1">
                  <c:v>2</c:v>
                </c:pt>
              </c:numCache>
            </c:numRef>
          </c:val>
          <c:smooth val="0"/>
          <c:extLst>
            <c:ext xmlns:c16="http://schemas.microsoft.com/office/drawing/2014/chart" uri="{C3380CC4-5D6E-409C-BE32-E72D297353CC}">
              <c16:uniqueId val="{00000002-D6C7-4E90-AF50-7CB190A8F3B0}"/>
            </c:ext>
          </c:extLst>
        </c:ser>
        <c:ser>
          <c:idx val="2"/>
          <c:order val="2"/>
          <c:tx>
            <c:strRef>
              <c:f>'Patient Records(CLEAN&amp;ANALYSED)'!$M$10:$M$11</c:f>
              <c:strCache>
                <c:ptCount val="1"/>
                <c:pt idx="0">
                  <c:v>Diabetes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'Patient Records(CLEAN&amp;ANALYSED)'!$J$12:$J$13</c:f>
              <c:strCache>
                <c:ptCount val="2"/>
                <c:pt idx="0">
                  <c:v>Number of Female patients</c:v>
                </c:pt>
                <c:pt idx="1">
                  <c:v>Number of Male patients</c:v>
                </c:pt>
              </c:strCache>
            </c:strRef>
          </c:cat>
          <c:val>
            <c:numRef>
              <c:f>'Patient Records(CLEAN&amp;ANALYSED)'!$M$12:$M$13</c:f>
              <c:numCache>
                <c:formatCode>General</c:formatCode>
                <c:ptCount val="2"/>
                <c:pt idx="0">
                  <c:v>1</c:v>
                </c:pt>
                <c:pt idx="1">
                  <c:v>1</c:v>
                </c:pt>
              </c:numCache>
            </c:numRef>
          </c:val>
          <c:smooth val="0"/>
          <c:extLst>
            <c:ext xmlns:c16="http://schemas.microsoft.com/office/drawing/2014/chart" uri="{C3380CC4-5D6E-409C-BE32-E72D297353CC}">
              <c16:uniqueId val="{00000003-D6C7-4E90-AF50-7CB190A8F3B0}"/>
            </c:ext>
          </c:extLst>
        </c:ser>
        <c:ser>
          <c:idx val="3"/>
          <c:order val="3"/>
          <c:tx>
            <c:strRef>
              <c:f>'Patient Records(CLEAN&amp;ANALYSED)'!$N$10:$N$11</c:f>
              <c:strCache>
                <c:ptCount val="1"/>
                <c:pt idx="0">
                  <c:v>Asthma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'Patient Records(CLEAN&amp;ANALYSED)'!$J$12:$J$13</c:f>
              <c:strCache>
                <c:ptCount val="2"/>
                <c:pt idx="0">
                  <c:v>Number of Female patients</c:v>
                </c:pt>
                <c:pt idx="1">
                  <c:v>Number of Male patients</c:v>
                </c:pt>
              </c:strCache>
            </c:strRef>
          </c:cat>
          <c:val>
            <c:numRef>
              <c:f>'Patient Records(CLEAN&amp;ANALYSED)'!$N$12:$N$13</c:f>
              <c:numCache>
                <c:formatCode>General</c:formatCode>
                <c:ptCount val="2"/>
                <c:pt idx="0">
                  <c:v>1</c:v>
                </c:pt>
              </c:numCache>
            </c:numRef>
          </c:val>
          <c:smooth val="0"/>
          <c:extLst>
            <c:ext xmlns:c16="http://schemas.microsoft.com/office/drawing/2014/chart" uri="{C3380CC4-5D6E-409C-BE32-E72D297353CC}">
              <c16:uniqueId val="{00000004-D6C7-4E90-AF50-7CB190A8F3B0}"/>
            </c:ext>
          </c:extLst>
        </c:ser>
        <c:ser>
          <c:idx val="4"/>
          <c:order val="4"/>
          <c:tx>
            <c:strRef>
              <c:f>'Patient Records(CLEAN&amp;ANALYSED)'!$O$10:$O$11</c:f>
              <c:strCache>
                <c:ptCount val="1"/>
                <c:pt idx="0">
                  <c:v>Arthritis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'Patient Records(CLEAN&amp;ANALYSED)'!$J$12:$J$13</c:f>
              <c:strCache>
                <c:ptCount val="2"/>
                <c:pt idx="0">
                  <c:v>Number of Female patients</c:v>
                </c:pt>
                <c:pt idx="1">
                  <c:v>Number of Male patients</c:v>
                </c:pt>
              </c:strCache>
            </c:strRef>
          </c:cat>
          <c:val>
            <c:numRef>
              <c:f>'Patient Records(CLEAN&amp;ANALYSED)'!$O$12:$O$13</c:f>
              <c:numCache>
                <c:formatCode>General</c:formatCode>
                <c:ptCount val="2"/>
                <c:pt idx="0">
                  <c:v>2</c:v>
                </c:pt>
                <c:pt idx="1">
                  <c:v>1</c:v>
                </c:pt>
              </c:numCache>
            </c:numRef>
          </c:val>
          <c:smooth val="0"/>
          <c:extLst>
            <c:ext xmlns:c16="http://schemas.microsoft.com/office/drawing/2014/chart" uri="{C3380CC4-5D6E-409C-BE32-E72D297353CC}">
              <c16:uniqueId val="{00000005-D6C7-4E90-AF50-7CB190A8F3B0}"/>
            </c:ext>
          </c:extLst>
        </c:ser>
        <c:dLbls>
          <c:showLegendKey val="0"/>
          <c:showVal val="0"/>
          <c:showCatName val="0"/>
          <c:showSerName val="0"/>
          <c:showPercent val="0"/>
          <c:showBubbleSize val="0"/>
        </c:dLbls>
        <c:marker val="1"/>
        <c:smooth val="0"/>
        <c:axId val="534760576"/>
        <c:axId val="540117632"/>
      </c:lineChart>
      <c:catAx>
        <c:axId val="53476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40117632"/>
        <c:crosses val="autoZero"/>
        <c:auto val="1"/>
        <c:lblAlgn val="ctr"/>
        <c:lblOffset val="100"/>
        <c:noMultiLvlLbl val="0"/>
      </c:catAx>
      <c:valAx>
        <c:axId val="54011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4760576"/>
        <c:crosses val="autoZero"/>
        <c:crossBetween val="between"/>
      </c:valAx>
      <c:spPr>
        <a:noFill/>
        <a:ln>
          <a:noFill/>
        </a:ln>
        <a:effectLst/>
      </c:spPr>
    </c:plotArea>
    <c:legend>
      <c:legendPos val="r"/>
      <c:overlay val="0"/>
      <c:spPr>
        <a:noFill/>
        <a:ln w="12700">
          <a:solidFill>
            <a:schemeClr val="tx1"/>
          </a:solid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 GROUP WISE DISEASE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C6-403C-B351-99AB254180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C6-403C-B351-99AB254180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C6-403C-B351-99AB254180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C6-403C-B351-99AB254180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3C6-403C-B351-99AB254180C9}"/>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20-29</c:v>
              </c:pt>
              <c:pt idx="1">
                <c:v>30-39</c:v>
              </c:pt>
              <c:pt idx="2">
                <c:v>40-49</c:v>
              </c:pt>
              <c:pt idx="3">
                <c:v>50-59</c:v>
              </c:pt>
              <c:pt idx="4">
                <c:v>60-69</c:v>
              </c:pt>
            </c:strLit>
          </c:cat>
          <c:val>
            <c:numLit>
              <c:formatCode>General</c:formatCode>
              <c:ptCount val="5"/>
              <c:pt idx="0">
                <c:v>2</c:v>
              </c:pt>
              <c:pt idx="1">
                <c:v>3</c:v>
              </c:pt>
              <c:pt idx="2">
                <c:v>2</c:v>
              </c:pt>
              <c:pt idx="3">
                <c:v>3</c:v>
              </c:pt>
              <c:pt idx="4">
                <c:v>2</c:v>
              </c:pt>
            </c:numLit>
          </c:val>
          <c:extLst>
            <c:ext xmlns:c16="http://schemas.microsoft.com/office/drawing/2014/chart" uri="{C3380CC4-5D6E-409C-BE32-E72D297353CC}">
              <c16:uniqueId val="{0000000A-EBB4-454E-9878-2B3BBB1AD3F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281563789297896"/>
          <c:y val="0.36797317002041408"/>
          <c:w val="0.15939776928669772"/>
          <c:h val="0.5418853893263342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7</xdr:col>
      <xdr:colOff>213360</xdr:colOff>
      <xdr:row>21</xdr:row>
      <xdr:rowOff>0</xdr:rowOff>
    </xdr:to>
    <xdr:graphicFrame macro="">
      <xdr:nvGraphicFramePr>
        <xdr:cNvPr id="3" name="Chart 2">
          <a:extLst>
            <a:ext uri="{FF2B5EF4-FFF2-40B4-BE49-F238E27FC236}">
              <a16:creationId xmlns:a16="http://schemas.microsoft.com/office/drawing/2014/main" id="{1749E7C1-19C9-4BC3-A43D-4D05D3D2D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388620</xdr:colOff>
      <xdr:row>1</xdr:row>
      <xdr:rowOff>7620</xdr:rowOff>
    </xdr:from>
    <xdr:to>
      <xdr:col>15</xdr:col>
      <xdr:colOff>175260</xdr:colOff>
      <xdr:row>4</xdr:row>
      <xdr:rowOff>0</xdr:rowOff>
    </xdr:to>
    <xdr:sp macro="" textlink="">
      <xdr:nvSpPr>
        <xdr:cNvPr id="4" name="TextBox 3">
          <a:extLst>
            <a:ext uri="{FF2B5EF4-FFF2-40B4-BE49-F238E27FC236}">
              <a16:creationId xmlns:a16="http://schemas.microsoft.com/office/drawing/2014/main" id="{E44307C1-A862-A7B8-0922-FCFAF45FEDE7}"/>
            </a:ext>
          </a:extLst>
        </xdr:cNvPr>
        <xdr:cNvSpPr txBox="1"/>
      </xdr:nvSpPr>
      <xdr:spPr>
        <a:xfrm>
          <a:off x="3436620" y="190500"/>
          <a:ext cx="5882640" cy="54102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800" b="1"/>
            <a:t>VISUALISATION</a:t>
          </a:r>
          <a:r>
            <a:rPr lang="en-IN" sz="1800" b="1" baseline="0"/>
            <a:t> OF CLEANED PATIENT RECORDS DATASET</a:t>
          </a:r>
          <a:endParaRPr lang="en-IN" sz="1800" b="1"/>
        </a:p>
      </xdr:txBody>
    </xdr:sp>
    <xdr:clientData/>
  </xdr:twoCellAnchor>
  <xdr:twoCellAnchor>
    <xdr:from>
      <xdr:col>11</xdr:col>
      <xdr:colOff>7620</xdr:colOff>
      <xdr:row>23</xdr:row>
      <xdr:rowOff>38100</xdr:rowOff>
    </xdr:from>
    <xdr:to>
      <xdr:col>18</xdr:col>
      <xdr:colOff>312420</xdr:colOff>
      <xdr:row>38</xdr:row>
      <xdr:rowOff>38100</xdr:rowOff>
    </xdr:to>
    <xdr:graphicFrame macro="">
      <xdr:nvGraphicFramePr>
        <xdr:cNvPr id="6" name="Chart 5">
          <a:extLst>
            <a:ext uri="{FF2B5EF4-FFF2-40B4-BE49-F238E27FC236}">
              <a16:creationId xmlns:a16="http://schemas.microsoft.com/office/drawing/2014/main" id="{9961F5C8-A470-41CB-B75C-85C4F3A69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601980</xdr:colOff>
      <xdr:row>5</xdr:row>
      <xdr:rowOff>167640</xdr:rowOff>
    </xdr:from>
    <xdr:to>
      <xdr:col>18</xdr:col>
      <xdr:colOff>335280</xdr:colOff>
      <xdr:row>21</xdr:row>
      <xdr:rowOff>167640</xdr:rowOff>
    </xdr:to>
    <xdr:graphicFrame macro="">
      <xdr:nvGraphicFramePr>
        <xdr:cNvPr id="8" name="Chart 7">
          <a:extLst>
            <a:ext uri="{FF2B5EF4-FFF2-40B4-BE49-F238E27FC236}">
              <a16:creationId xmlns:a16="http://schemas.microsoft.com/office/drawing/2014/main" id="{414CA94B-FD0C-4102-9834-C8A973B71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22</xdr:row>
      <xdr:rowOff>0</xdr:rowOff>
    </xdr:from>
    <xdr:to>
      <xdr:col>7</xdr:col>
      <xdr:colOff>220980</xdr:colOff>
      <xdr:row>37</xdr:row>
      <xdr:rowOff>0</xdr:rowOff>
    </xdr:to>
    <xdr:graphicFrame macro="">
      <xdr:nvGraphicFramePr>
        <xdr:cNvPr id="10" name="Chart 9">
          <a:extLst>
            <a:ext uri="{FF2B5EF4-FFF2-40B4-BE49-F238E27FC236}">
              <a16:creationId xmlns:a16="http://schemas.microsoft.com/office/drawing/2014/main" id="{7ECEB4FF-A04E-474E-9E54-48CF9135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274320</xdr:colOff>
      <xdr:row>5</xdr:row>
      <xdr:rowOff>167640</xdr:rowOff>
    </xdr:from>
    <xdr:to>
      <xdr:col>9</xdr:col>
      <xdr:colOff>472440</xdr:colOff>
      <xdr:row>21</xdr:row>
      <xdr:rowOff>0</xdr:rowOff>
    </xdr:to>
    <mc:AlternateContent xmlns:mc="http://schemas.openxmlformats.org/markup-compatibility/2006" xmlns:a14="http://schemas.microsoft.com/office/drawing/2010/main">
      <mc:Choice Requires="a14">
        <xdr:graphicFrame macro="">
          <xdr:nvGraphicFramePr>
            <xdr:cNvPr id="2" name="DISEASE">
              <a:extLst>
                <a:ext uri="{FF2B5EF4-FFF2-40B4-BE49-F238E27FC236}">
                  <a16:creationId xmlns:a16="http://schemas.microsoft.com/office/drawing/2014/main" id="{EF2AA268-3136-21D0-92FF-A7E2EFA4F52D}"/>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mlns="">
        <xdr:sp macro="" textlink="">
          <xdr:nvSpPr>
            <xdr:cNvPr id="0" name=""/>
            <xdr:cNvSpPr>
              <a:spLocks noTextEdit="1"/>
            </xdr:cNvSpPr>
          </xdr:nvSpPr>
          <xdr:spPr>
            <a:xfrm>
              <a:off x="4541520" y="1082040"/>
              <a:ext cx="1417320" cy="275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76200</xdr:colOff>
      <xdr:row>5</xdr:row>
      <xdr:rowOff>144780</xdr:rowOff>
    </xdr:from>
    <xdr:to>
      <xdr:col>24</xdr:col>
      <xdr:colOff>114300</xdr:colOff>
      <xdr:row>21</xdr:row>
      <xdr:rowOff>129540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A730ADCB-C50E-89DF-5FF3-53DE9B39059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877800" y="1059180"/>
              <a:ext cx="1866900" cy="2910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457200</xdr:colOff>
      <xdr:row>5</xdr:row>
      <xdr:rowOff>144780</xdr:rowOff>
    </xdr:from>
    <xdr:to>
      <xdr:col>21</xdr:col>
      <xdr:colOff>22860</xdr:colOff>
      <xdr:row>21</xdr:row>
      <xdr:rowOff>160020</xdr:rowOff>
    </xdr:to>
    <mc:AlternateContent xmlns:mc="http://schemas.openxmlformats.org/markup-compatibility/2006" xmlns:a14="http://schemas.microsoft.com/office/drawing/2010/main">
      <mc:Choice Requires="a14">
        <xdr:graphicFrame macro="">
          <xdr:nvGraphicFramePr>
            <xdr:cNvPr id="7" name="DISEASE 1">
              <a:extLst>
                <a:ext uri="{FF2B5EF4-FFF2-40B4-BE49-F238E27FC236}">
                  <a16:creationId xmlns:a16="http://schemas.microsoft.com/office/drawing/2014/main" id="{09046458-5053-05D9-46C6-44138E5E66A9}"/>
                </a:ext>
              </a:extLst>
            </xdr:cNvPr>
            <xdr:cNvGraphicFramePr/>
          </xdr:nvGraphicFramePr>
          <xdr:xfrm>
            <a:off x="0" y="0"/>
            <a:ext cx="0" cy="0"/>
          </xdr:xfrm>
          <a:graphic>
            <a:graphicData uri="http://schemas.microsoft.com/office/drawing/2010/slicer">
              <sle:slicer xmlns:sle="http://schemas.microsoft.com/office/drawing/2010/slicer" name="DISEASE 1"/>
            </a:graphicData>
          </a:graphic>
        </xdr:graphicFrame>
      </mc:Choice>
      <mc:Fallback xmlns="">
        <xdr:sp macro="" textlink="">
          <xdr:nvSpPr>
            <xdr:cNvPr id="0" name=""/>
            <xdr:cNvSpPr>
              <a:spLocks noTextEdit="1"/>
            </xdr:cNvSpPr>
          </xdr:nvSpPr>
          <xdr:spPr>
            <a:xfrm>
              <a:off x="11430000" y="1059180"/>
              <a:ext cx="1394460" cy="2941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335280</xdr:colOff>
      <xdr:row>22</xdr:row>
      <xdr:rowOff>7620</xdr:rowOff>
    </xdr:from>
    <xdr:to>
      <xdr:col>9</xdr:col>
      <xdr:colOff>434340</xdr:colOff>
      <xdr:row>36</xdr:row>
      <xdr:rowOff>167640</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FA071231-53CF-6573-299C-012B94A9B40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4602480" y="4030980"/>
              <a:ext cx="1318260" cy="2720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320040</xdr:colOff>
      <xdr:row>23</xdr:row>
      <xdr:rowOff>15240</xdr:rowOff>
    </xdr:from>
    <xdr:to>
      <xdr:col>24</xdr:col>
      <xdr:colOff>83820</xdr:colOff>
      <xdr:row>37</xdr:row>
      <xdr:rowOff>144780</xdr:rowOff>
    </xdr:to>
    <mc:AlternateContent xmlns:mc="http://schemas.openxmlformats.org/markup-compatibility/2006" xmlns:a14="http://schemas.microsoft.com/office/drawing/2010/main">
      <mc:Choice Requires="a14">
        <xdr:graphicFrame macro="">
          <xdr:nvGraphicFramePr>
            <xdr:cNvPr id="11" name="MEDICATION">
              <a:extLst>
                <a:ext uri="{FF2B5EF4-FFF2-40B4-BE49-F238E27FC236}">
                  <a16:creationId xmlns:a16="http://schemas.microsoft.com/office/drawing/2014/main" id="{C8F4DC45-116E-3250-0F87-B709FBBC057C}"/>
                </a:ext>
              </a:extLst>
            </xdr:cNvPr>
            <xdr:cNvGraphicFramePr/>
          </xdr:nvGraphicFramePr>
          <xdr:xfrm>
            <a:off x="0" y="0"/>
            <a:ext cx="0" cy="0"/>
          </xdr:xfrm>
          <a:graphic>
            <a:graphicData uri="http://schemas.microsoft.com/office/drawing/2010/slicer">
              <sle:slicer xmlns:sle="http://schemas.microsoft.com/office/drawing/2010/slicer" name="MEDICATION"/>
            </a:graphicData>
          </a:graphic>
        </xdr:graphicFrame>
      </mc:Choice>
      <mc:Fallback xmlns="">
        <xdr:sp macro="" textlink="">
          <xdr:nvSpPr>
            <xdr:cNvPr id="0" name=""/>
            <xdr:cNvSpPr>
              <a:spLocks noTextEdit="1"/>
            </xdr:cNvSpPr>
          </xdr:nvSpPr>
          <xdr:spPr>
            <a:xfrm>
              <a:off x="13121640" y="4221480"/>
              <a:ext cx="1592580" cy="2689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403860</xdr:colOff>
      <xdr:row>23</xdr:row>
      <xdr:rowOff>38100</xdr:rowOff>
    </xdr:from>
    <xdr:to>
      <xdr:col>21</xdr:col>
      <xdr:colOff>243840</xdr:colOff>
      <xdr:row>37</xdr:row>
      <xdr:rowOff>175260</xdr:rowOff>
    </xdr:to>
    <mc:AlternateContent xmlns:mc="http://schemas.openxmlformats.org/markup-compatibility/2006" xmlns:a14="http://schemas.microsoft.com/office/drawing/2010/main">
      <mc:Choice Requires="a14">
        <xdr:graphicFrame macro="">
          <xdr:nvGraphicFramePr>
            <xdr:cNvPr id="12" name="DOSAGE (MG)">
              <a:extLst>
                <a:ext uri="{FF2B5EF4-FFF2-40B4-BE49-F238E27FC236}">
                  <a16:creationId xmlns:a16="http://schemas.microsoft.com/office/drawing/2014/main" id="{D9425A8D-F4AD-A2BA-E85A-54049DE8B62A}"/>
                </a:ext>
              </a:extLst>
            </xdr:cNvPr>
            <xdr:cNvGraphicFramePr/>
          </xdr:nvGraphicFramePr>
          <xdr:xfrm>
            <a:off x="0" y="0"/>
            <a:ext cx="0" cy="0"/>
          </xdr:xfrm>
          <a:graphic>
            <a:graphicData uri="http://schemas.microsoft.com/office/drawing/2010/slicer">
              <sle:slicer xmlns:sle="http://schemas.microsoft.com/office/drawing/2010/slicer" name="DOSAGE (MG)"/>
            </a:graphicData>
          </a:graphic>
        </xdr:graphicFrame>
      </mc:Choice>
      <mc:Fallback xmlns="">
        <xdr:sp macro="" textlink="">
          <xdr:nvSpPr>
            <xdr:cNvPr id="0" name=""/>
            <xdr:cNvSpPr>
              <a:spLocks noTextEdit="1"/>
            </xdr:cNvSpPr>
          </xdr:nvSpPr>
          <xdr:spPr>
            <a:xfrm>
              <a:off x="11376660" y="4244340"/>
              <a:ext cx="1668780" cy="2697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BABU C" refreshedDate="46268.649767361108" createdVersion="8" refreshedVersion="8" minRefreshableVersion="3" recordCount="12" xr:uid="{8FC36302-8944-4950-8E5D-8DBDC23C23F8}">
  <cacheSource type="worksheet">
    <worksheetSource ref="A1:F13" sheet="Patient Records(CLEAN&amp;ANALYSED)"/>
  </cacheSource>
  <cacheFields count="6">
    <cacheField name="PATIENT ID" numFmtId="0">
      <sharedItems/>
    </cacheField>
    <cacheField name="AGE" numFmtId="0">
      <sharedItems containsSemiMixedTypes="0" containsString="0" containsNumber="1" containsInteger="1" minValue="28" maxValue="62" count="12">
        <n v="28"/>
        <n v="45"/>
        <n v="60"/>
        <n v="34"/>
        <n v="50"/>
        <n v="29"/>
        <n v="41"/>
        <n v="52"/>
        <n v="55"/>
        <n v="38"/>
        <n v="62"/>
        <n v="33"/>
      </sharedItems>
      <fieldGroup base="1">
        <rangePr autoStart="0" autoEnd="0" startNum="20" endNum="65" groupInterval="10"/>
        <groupItems count="7">
          <s v="&lt;20"/>
          <s v="20-29"/>
          <s v="30-39"/>
          <s v="40-49"/>
          <s v="50-59"/>
          <s v="60-69"/>
          <s v="&gt;70"/>
        </groupItems>
      </fieldGroup>
    </cacheField>
    <cacheField name="GENDER" numFmtId="0">
      <sharedItems count="2">
        <s v="Female"/>
        <s v="Male"/>
      </sharedItems>
    </cacheField>
    <cacheField name="DISEASE" numFmtId="0">
      <sharedItems count="5">
        <s v="Flu"/>
        <s v="Hypertension"/>
        <s v="Diabetes"/>
        <s v="Arthritis"/>
        <s v="Asthma"/>
      </sharedItems>
    </cacheField>
    <cacheField name="MEDICATION" numFmtId="0">
      <sharedItems count="5">
        <s v="Paracetamol"/>
        <s v="Amlodipine"/>
        <s v="Metformin"/>
        <s v="Ibuprofen"/>
        <s v="Salbutamol"/>
      </sharedItems>
    </cacheField>
    <cacheField name="DOSAGE (MG)" numFmtId="0">
      <sharedItems containsSemiMixedTypes="0" containsString="0" containsNumber="1" containsInteger="1" minValue="5" maxValue="500" count="4">
        <n v="500"/>
        <n v="5"/>
        <n v="400"/>
        <n v="100"/>
      </sharedItems>
    </cacheField>
  </cacheFields>
  <extLst>
    <ext xmlns:x14="http://schemas.microsoft.com/office/spreadsheetml/2009/9/main" uri="{725AE2AE-9491-48be-B2B4-4EB974FC3084}">
      <x14:pivotCacheDefinition pivotCacheId="1743865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P001"/>
    <x v="0"/>
    <x v="0"/>
    <x v="0"/>
    <x v="0"/>
    <x v="0"/>
  </r>
  <r>
    <s v="P002"/>
    <x v="1"/>
    <x v="1"/>
    <x v="1"/>
    <x v="1"/>
    <x v="1"/>
  </r>
  <r>
    <s v="P003"/>
    <x v="2"/>
    <x v="0"/>
    <x v="2"/>
    <x v="2"/>
    <x v="0"/>
  </r>
  <r>
    <s v="P004"/>
    <x v="3"/>
    <x v="1"/>
    <x v="0"/>
    <x v="0"/>
    <x v="0"/>
  </r>
  <r>
    <s v="P005"/>
    <x v="4"/>
    <x v="0"/>
    <x v="3"/>
    <x v="3"/>
    <x v="2"/>
  </r>
  <r>
    <s v="P006"/>
    <x v="5"/>
    <x v="1"/>
    <x v="0"/>
    <x v="0"/>
    <x v="0"/>
  </r>
  <r>
    <s v="P007"/>
    <x v="6"/>
    <x v="0"/>
    <x v="1"/>
    <x v="1"/>
    <x v="1"/>
  </r>
  <r>
    <s v="P008"/>
    <x v="7"/>
    <x v="1"/>
    <x v="2"/>
    <x v="2"/>
    <x v="0"/>
  </r>
  <r>
    <s v="P009"/>
    <x v="8"/>
    <x v="0"/>
    <x v="3"/>
    <x v="3"/>
    <x v="2"/>
  </r>
  <r>
    <s v="P010"/>
    <x v="9"/>
    <x v="0"/>
    <x v="0"/>
    <x v="0"/>
    <x v="0"/>
  </r>
  <r>
    <s v="P011"/>
    <x v="10"/>
    <x v="1"/>
    <x v="3"/>
    <x v="3"/>
    <x v="2"/>
  </r>
  <r>
    <s v="P012"/>
    <x v="11"/>
    <x v="0"/>
    <x v="4"/>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B854C2-375F-4A7C-9EA2-D0C3348852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isease">
  <location ref="J2:K8" firstHeaderRow="1" firstDataRow="1" firstDataCol="1"/>
  <pivotFields count="6">
    <pivotField dataField="1" showAll="0"/>
    <pivotField showAll="0">
      <items count="8">
        <item x="0"/>
        <item x="1"/>
        <item x="2"/>
        <item x="3"/>
        <item x="4"/>
        <item x="5"/>
        <item x="6"/>
        <item t="default"/>
      </items>
    </pivotField>
    <pivotField showAll="0"/>
    <pivotField axis="axisRow" showAll="0" sortType="descending">
      <items count="6">
        <item x="1"/>
        <item x="0"/>
        <item x="2"/>
        <item x="4"/>
        <item x="3"/>
        <item t="default"/>
      </items>
    </pivotField>
    <pivotField showAll="0"/>
    <pivotField showAll="0"/>
  </pivotFields>
  <rowFields count="1">
    <field x="3"/>
  </rowFields>
  <rowItems count="6">
    <i>
      <x/>
    </i>
    <i>
      <x v="1"/>
    </i>
    <i>
      <x v="2"/>
    </i>
    <i>
      <x v="3"/>
    </i>
    <i>
      <x v="4"/>
    </i>
    <i t="grand">
      <x/>
    </i>
  </rowItems>
  <colItems count="1">
    <i/>
  </colItems>
  <dataFields count="1">
    <dataField name="Number of Patients" fld="0" subtotal="count" baseField="0" baseItem="0"/>
  </dataFields>
  <formats count="25">
    <format dxfId="0">
      <pivotArea type="all" dataOnly="0" outline="0" fieldPosition="0"/>
    </format>
    <format dxfId="1">
      <pivotArea outline="0" collapsedLevelsAreSubtotals="1" fieldPosition="0"/>
    </format>
    <format dxfId="2">
      <pivotArea field="3" type="button" dataOnly="0" labelOnly="1" outline="0" axis="axisRow" fieldPosition="0"/>
    </format>
    <format dxfId="3">
      <pivotArea dataOnly="0" labelOnly="1" fieldPosition="0">
        <references count="1">
          <reference field="3" count="0"/>
        </references>
      </pivotArea>
    </format>
    <format dxfId="4">
      <pivotArea dataOnly="0" labelOnly="1" grandRow="1" outline="0" fieldPosition="0"/>
    </format>
    <format dxfId="5">
      <pivotArea dataOnly="0" labelOnly="1" outline="0" axis="axisValues" fieldPosition="0"/>
    </format>
    <format dxfId="6">
      <pivotArea field="3" type="button" dataOnly="0" labelOnly="1" outline="0" axis="axisRow" fieldPosition="0"/>
    </format>
    <format dxfId="7">
      <pivotArea dataOnly="0" labelOnly="1" fieldPosition="0">
        <references count="1">
          <reference field="3" count="0"/>
        </references>
      </pivotArea>
    </format>
    <format dxfId="8">
      <pivotArea dataOnly="0" labelOnly="1" grandRow="1" outline="0" fieldPosition="0"/>
    </format>
    <format dxfId="9">
      <pivotArea collapsedLevelsAreSubtotals="1" fieldPosition="0">
        <references count="1">
          <reference field="3" count="1">
            <x v="3"/>
          </reference>
        </references>
      </pivotArea>
    </format>
    <format dxfId="10">
      <pivotArea type="all" dataOnly="0" outline="0" fieldPosition="0"/>
    </format>
    <format dxfId="11">
      <pivotArea outline="0" collapsedLevelsAreSubtotals="1" fieldPosition="0"/>
    </format>
    <format dxfId="12">
      <pivotArea field="3" type="button" dataOnly="0" labelOnly="1" outline="0" axis="axisRow" fieldPosition="0"/>
    </format>
    <format dxfId="13">
      <pivotArea dataOnly="0" labelOnly="1" fieldPosition="0">
        <references count="1">
          <reference field="3" count="0"/>
        </references>
      </pivotArea>
    </format>
    <format dxfId="14">
      <pivotArea dataOnly="0" labelOnly="1" grandRow="1" outline="0" fieldPosition="0"/>
    </format>
    <format dxfId="15">
      <pivotArea dataOnly="0" labelOnly="1" outline="0" axis="axisValues" fieldPosition="0"/>
    </format>
    <format dxfId="16">
      <pivotArea type="all" dataOnly="0" outline="0" fieldPosition="0"/>
    </format>
    <format dxfId="17">
      <pivotArea outline="0" collapsedLevelsAreSubtotals="1" fieldPosition="0"/>
    </format>
    <format dxfId="18">
      <pivotArea field="3" type="button" dataOnly="0" labelOnly="1" outline="0" axis="axisRow" fieldPosition="0"/>
    </format>
    <format dxfId="19">
      <pivotArea dataOnly="0" labelOnly="1" fieldPosition="0">
        <references count="1">
          <reference field="3" count="0"/>
        </references>
      </pivotArea>
    </format>
    <format dxfId="20">
      <pivotArea dataOnly="0" labelOnly="1" grandRow="1" outline="0" fieldPosition="0"/>
    </format>
    <format dxfId="21">
      <pivotArea dataOnly="0" labelOnly="1" outline="0" axis="axisValues" fieldPosition="0"/>
    </format>
    <format dxfId="22">
      <pivotArea collapsedLevelsAreSubtotals="1" fieldPosition="0">
        <references count="1">
          <reference field="3" count="1">
            <x v="4"/>
          </reference>
        </references>
      </pivotArea>
    </format>
    <format dxfId="23">
      <pivotArea collapsedLevelsAreSubtotals="1" fieldPosition="0">
        <references count="1">
          <reference field="3" count="1">
            <x v="4"/>
          </reference>
        </references>
      </pivotArea>
    </format>
    <format dxfId="24">
      <pivotArea collapsedLevelsAreSubtotals="1" fieldPosition="0">
        <references count="1">
          <reference field="3" count="1">
            <x v="4"/>
          </reference>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FEB8E0-E24F-4B0E-9BB3-2F1A86F2D59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Medication">
  <location ref="M2:N7" firstHeaderRow="1" firstDataRow="1" firstDataCol="1"/>
  <pivotFields count="6">
    <pivotField showAll="0"/>
    <pivotField showAll="0">
      <items count="8">
        <item x="0"/>
        <item x="1"/>
        <item x="2"/>
        <item x="3"/>
        <item x="4"/>
        <item x="5"/>
        <item x="6"/>
        <item t="default"/>
      </items>
    </pivotField>
    <pivotField showAll="0"/>
    <pivotField showAll="0"/>
    <pivotField axis="axisRow"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dataField="1" showAll="0">
      <items count="5">
        <item x="1"/>
        <item x="3"/>
        <item x="2"/>
        <item x="0"/>
        <item t="default"/>
      </items>
    </pivotField>
  </pivotFields>
  <rowFields count="1">
    <field x="4"/>
  </rowFields>
  <rowItems count="5">
    <i>
      <x v="3"/>
    </i>
    <i>
      <x v="2"/>
    </i>
    <i>
      <x v="1"/>
    </i>
    <i>
      <x v="4"/>
    </i>
    <i>
      <x/>
    </i>
  </rowItems>
  <colItems count="1">
    <i/>
  </colItems>
  <dataFields count="1">
    <dataField name="DOSAGE(MG)" fld="5" subtotal="max" baseField="4" baseItem="0"/>
  </dataFields>
  <formats count="17">
    <format dxfId="210">
      <pivotArea type="all" dataOnly="0" outline="0" fieldPosition="0"/>
    </format>
    <format dxfId="209">
      <pivotArea outline="0" collapsedLevelsAreSubtotals="1" fieldPosition="0"/>
    </format>
    <format dxfId="208">
      <pivotArea field="4" type="button" dataOnly="0" labelOnly="1" outline="0" axis="axisRow" fieldPosition="0"/>
    </format>
    <format dxfId="207">
      <pivotArea dataOnly="0" labelOnly="1" fieldPosition="0">
        <references count="1">
          <reference field="4" count="0"/>
        </references>
      </pivotArea>
    </format>
    <format dxfId="206">
      <pivotArea dataOnly="0" labelOnly="1" outline="0" axis="axisValues" fieldPosition="0"/>
    </format>
    <format dxfId="205">
      <pivotArea field="4" type="button" dataOnly="0" labelOnly="1" outline="0" axis="axisRow" fieldPosition="0"/>
    </format>
    <format dxfId="204">
      <pivotArea dataOnly="0" labelOnly="1" fieldPosition="0">
        <references count="1">
          <reference field="4" count="0"/>
        </references>
      </pivotArea>
    </format>
    <format dxfId="203">
      <pivotArea type="all" dataOnly="0" outline="0" fieldPosition="0"/>
    </format>
    <format dxfId="202">
      <pivotArea outline="0" collapsedLevelsAreSubtotals="1" fieldPosition="0"/>
    </format>
    <format dxfId="201">
      <pivotArea field="4" type="button" dataOnly="0" labelOnly="1" outline="0" axis="axisRow" fieldPosition="0"/>
    </format>
    <format dxfId="200">
      <pivotArea dataOnly="0" labelOnly="1" fieldPosition="0">
        <references count="1">
          <reference field="4" count="0"/>
        </references>
      </pivotArea>
    </format>
    <format dxfId="199">
      <pivotArea dataOnly="0" labelOnly="1" outline="0" axis="axisValues" fieldPosition="0"/>
    </format>
    <format dxfId="198">
      <pivotArea type="all" dataOnly="0" outline="0" fieldPosition="0"/>
    </format>
    <format dxfId="197">
      <pivotArea outline="0" collapsedLevelsAreSubtotals="1" fieldPosition="0"/>
    </format>
    <format dxfId="196">
      <pivotArea field="4" type="button" dataOnly="0" labelOnly="1" outline="0" axis="axisRow" fieldPosition="0"/>
    </format>
    <format dxfId="195">
      <pivotArea dataOnly="0" labelOnly="1" fieldPosition="0">
        <references count="1">
          <reference field="4" count="0"/>
        </references>
      </pivotArea>
    </format>
    <format dxfId="19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581D51-B803-4BBF-AF75-A9B081F43B24}"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Age Group(years)">
  <location ref="J16:K21" firstHeaderRow="1" firstDataRow="1" firstDataCol="1"/>
  <pivotFields count="6">
    <pivotField dataField="1" showAll="0"/>
    <pivotField axis="axisRow" showAll="0">
      <items count="8">
        <item x="0"/>
        <item x="1"/>
        <item x="2"/>
        <item x="3"/>
        <item x="4"/>
        <item x="5"/>
        <item x="6"/>
        <item t="default"/>
      </items>
    </pivotField>
    <pivotField showAll="0"/>
    <pivotField showAll="0"/>
    <pivotField showAll="0"/>
    <pivotField showAll="0"/>
  </pivotFields>
  <rowFields count="1">
    <field x="1"/>
  </rowFields>
  <rowItems count="5">
    <i>
      <x v="1"/>
    </i>
    <i>
      <x v="2"/>
    </i>
    <i>
      <x v="3"/>
    </i>
    <i>
      <x v="4"/>
    </i>
    <i>
      <x v="5"/>
    </i>
  </rowItems>
  <colItems count="1">
    <i/>
  </colItems>
  <dataFields count="1">
    <dataField name="Number of Patients Visited" fld="0" subtotal="count" baseField="0" baseItem="0"/>
  </dataFields>
  <formats count="25">
    <format dxfId="235">
      <pivotArea type="all" dataOnly="0" outline="0" fieldPosition="0"/>
    </format>
    <format dxfId="234">
      <pivotArea outline="0" collapsedLevelsAreSubtotals="1" fieldPosition="0"/>
    </format>
    <format dxfId="233">
      <pivotArea field="1" type="button" dataOnly="0" labelOnly="1" outline="0" axis="axisRow" fieldPosition="0"/>
    </format>
    <format dxfId="232">
      <pivotArea dataOnly="0" labelOnly="1" fieldPosition="0">
        <references count="1">
          <reference field="1" count="5">
            <x v="1"/>
            <x v="2"/>
            <x v="3"/>
            <x v="4"/>
            <x v="5"/>
          </reference>
        </references>
      </pivotArea>
    </format>
    <format dxfId="231">
      <pivotArea dataOnly="0" labelOnly="1" grandRow="1" outline="0" fieldPosition="0"/>
    </format>
    <format dxfId="230">
      <pivotArea dataOnly="0" labelOnly="1" outline="0" axis="axisValues" fieldPosition="0"/>
    </format>
    <format dxfId="229">
      <pivotArea dataOnly="0" labelOnly="1" fieldPosition="0">
        <references count="1">
          <reference field="1" count="1">
            <x v="1"/>
          </reference>
        </references>
      </pivotArea>
    </format>
    <format dxfId="228">
      <pivotArea dataOnly="0" labelOnly="1" fieldPosition="0">
        <references count="1">
          <reference field="1" count="1">
            <x v="2"/>
          </reference>
        </references>
      </pivotArea>
    </format>
    <format dxfId="227">
      <pivotArea dataOnly="0" labelOnly="1" fieldPosition="0">
        <references count="1">
          <reference field="1" count="1">
            <x v="3"/>
          </reference>
        </references>
      </pivotArea>
    </format>
    <format dxfId="226">
      <pivotArea dataOnly="0" labelOnly="1" fieldPosition="0">
        <references count="1">
          <reference field="1" count="1">
            <x v="4"/>
          </reference>
        </references>
      </pivotArea>
    </format>
    <format dxfId="225">
      <pivotArea dataOnly="0" labelOnly="1" fieldPosition="0">
        <references count="1">
          <reference field="1" count="1">
            <x v="5"/>
          </reference>
        </references>
      </pivotArea>
    </format>
    <format dxfId="224">
      <pivotArea dataOnly="0" labelOnly="1" grandRow="1" outline="0" fieldPosition="0"/>
    </format>
    <format dxfId="223">
      <pivotArea field="1" type="button" dataOnly="0" labelOnly="1" outline="0" axis="axisRow" fieldPosition="0"/>
    </format>
    <format dxfId="222">
      <pivotArea type="all" dataOnly="0" outline="0" fieldPosition="0"/>
    </format>
    <format dxfId="221">
      <pivotArea outline="0" collapsedLevelsAreSubtotals="1" fieldPosition="0"/>
    </format>
    <format dxfId="220">
      <pivotArea field="1" type="button" dataOnly="0" labelOnly="1" outline="0" axis="axisRow" fieldPosition="0"/>
    </format>
    <format dxfId="219">
      <pivotArea dataOnly="0" labelOnly="1" fieldPosition="0">
        <references count="1">
          <reference field="1" count="5">
            <x v="1"/>
            <x v="2"/>
            <x v="3"/>
            <x v="4"/>
            <x v="5"/>
          </reference>
        </references>
      </pivotArea>
    </format>
    <format dxfId="218">
      <pivotArea dataOnly="0" labelOnly="1" grandRow="1" outline="0"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field="1" type="button" dataOnly="0" labelOnly="1" outline="0" axis="axisRow" fieldPosition="0"/>
    </format>
    <format dxfId="213">
      <pivotArea dataOnly="0" labelOnly="1" fieldPosition="0">
        <references count="1">
          <reference field="1" count="5">
            <x v="1"/>
            <x v="2"/>
            <x v="3"/>
            <x v="4"/>
            <x v="5"/>
          </reference>
        </references>
      </pivotArea>
    </format>
    <format dxfId="212">
      <pivotArea dataOnly="0" labelOnly="1" grandRow="1" outline="0" fieldPosition="0"/>
    </format>
    <format dxfId="211">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 chart="3" format="6">
      <pivotArea type="data" outline="0" fieldPosition="0">
        <references count="2">
          <reference field="4294967294" count="1" selected="0">
            <x v="0"/>
          </reference>
          <reference field="1" count="1" selected="0">
            <x v="5"/>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 chart="5" format="11">
      <pivotArea type="data" outline="0" fieldPosition="0">
        <references count="2">
          <reference field="4294967294" count="1" selected="0">
            <x v="0"/>
          </reference>
          <reference field="1" count="1" selected="0">
            <x v="4"/>
          </reference>
        </references>
      </pivotArea>
    </chartFormat>
    <chartFormat chart="5" format="12">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520EE0-BDFF-4B07-A86F-DF9DE11BEA3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Disease" colHeaderCaption=" ">
  <location ref="J10:O13" firstHeaderRow="1" firstDataRow="2" firstDataCol="1"/>
  <pivotFields count="6">
    <pivotField dataField="1" showAll="0"/>
    <pivotField showAll="0">
      <items count="8">
        <item x="0"/>
        <item x="1"/>
        <item x="2"/>
        <item x="3"/>
        <item x="4"/>
        <item x="5"/>
        <item x="6"/>
        <item t="default"/>
      </items>
    </pivotField>
    <pivotField axis="axisRow" showAll="0">
      <items count="3">
        <item n="Number of Female patients" x="0"/>
        <item n="Number of Male patients" x="1"/>
        <item t="default"/>
      </items>
    </pivotField>
    <pivotField axis="axisCol" showAll="0" sortType="descending">
      <items count="6">
        <item x="1"/>
        <item x="0"/>
        <item x="2"/>
        <item x="4"/>
        <item x="3"/>
        <item t="default"/>
      </items>
    </pivotField>
    <pivotField showAll="0"/>
    <pivotField showAll="0"/>
  </pivotFields>
  <rowFields count="1">
    <field x="2"/>
  </rowFields>
  <rowItems count="2">
    <i>
      <x/>
    </i>
    <i>
      <x v="1"/>
    </i>
  </rowItems>
  <colFields count="1">
    <field x="3"/>
  </colFields>
  <colItems count="5">
    <i>
      <x/>
    </i>
    <i>
      <x v="1"/>
    </i>
    <i>
      <x v="2"/>
    </i>
    <i>
      <x v="3"/>
    </i>
    <i>
      <x v="4"/>
    </i>
  </colItems>
  <dataFields count="1">
    <dataField name="Gender wise Disease distribution " fld="0" subtotal="count" baseField="0" baseItem="0"/>
  </dataFields>
  <formats count="62">
    <format dxfId="297">
      <pivotArea type="all" dataOnly="0" outline="0" fieldPosition="0"/>
    </format>
    <format dxfId="296">
      <pivotArea outline="0" collapsedLevelsAreSubtotals="1" fieldPosition="0"/>
    </format>
    <format dxfId="295">
      <pivotArea type="origin" dataOnly="0" labelOnly="1" outline="0" fieldPosition="0"/>
    </format>
    <format dxfId="294">
      <pivotArea field="3" type="button" dataOnly="0" labelOnly="1" outline="0" axis="axisCol" fieldPosition="0"/>
    </format>
    <format dxfId="293">
      <pivotArea type="topRight" dataOnly="0" labelOnly="1" outline="0" fieldPosition="0"/>
    </format>
    <format dxfId="292">
      <pivotArea field="2" type="button" dataOnly="0" labelOnly="1" outline="0" axis="axisRow" fieldPosition="0"/>
    </format>
    <format dxfId="291">
      <pivotArea dataOnly="0" labelOnly="1" fieldPosition="0">
        <references count="1">
          <reference field="2" count="0"/>
        </references>
      </pivotArea>
    </format>
    <format dxfId="290">
      <pivotArea dataOnly="0" labelOnly="1" grandRow="1" outline="0" fieldPosition="0"/>
    </format>
    <format dxfId="289">
      <pivotArea dataOnly="0" labelOnly="1" fieldPosition="0">
        <references count="1">
          <reference field="3" count="0"/>
        </references>
      </pivotArea>
    </format>
    <format dxfId="288">
      <pivotArea dataOnly="0" labelOnly="1" grandCol="1" outline="0" fieldPosition="0"/>
    </format>
    <format dxfId="287">
      <pivotArea type="origin" dataOnly="0" labelOnly="1" outline="0" fieldPosition="0"/>
    </format>
    <format dxfId="286">
      <pivotArea field="2" type="button" dataOnly="0" labelOnly="1" outline="0" axis="axisRow" fieldPosition="0"/>
    </format>
    <format dxfId="285">
      <pivotArea dataOnly="0" labelOnly="1" fieldPosition="0">
        <references count="1">
          <reference field="2" count="0"/>
        </references>
      </pivotArea>
    </format>
    <format dxfId="284">
      <pivotArea dataOnly="0" labelOnly="1" grandRow="1" outline="0" fieldPosition="0"/>
    </format>
    <format dxfId="283">
      <pivotArea outline="0" collapsedLevelsAreSubtotals="1" fieldPosition="0">
        <references count="1">
          <reference field="3" count="1" selected="0">
            <x v="0"/>
          </reference>
        </references>
      </pivotArea>
    </format>
    <format dxfId="282">
      <pivotArea field="3" type="button" dataOnly="0" labelOnly="1" outline="0" axis="axisCol" fieldPosition="0"/>
    </format>
    <format dxfId="281">
      <pivotArea dataOnly="0" labelOnly="1" fieldPosition="0">
        <references count="1">
          <reference field="3" count="1">
            <x v="0"/>
          </reference>
        </references>
      </pivotArea>
    </format>
    <format dxfId="280">
      <pivotArea outline="0" collapsedLevelsAreSubtotals="1" fieldPosition="0">
        <references count="1">
          <reference field="3" count="4" selected="0">
            <x v="1"/>
            <x v="2"/>
            <x v="3"/>
            <x v="4"/>
          </reference>
        </references>
      </pivotArea>
    </format>
    <format dxfId="279">
      <pivotArea type="topRight" dataOnly="0" labelOnly="1" outline="0" offset="A1:D1" fieldPosition="0"/>
    </format>
    <format dxfId="278">
      <pivotArea dataOnly="0" labelOnly="1" fieldPosition="0">
        <references count="1">
          <reference field="3" count="4">
            <x v="1"/>
            <x v="2"/>
            <x v="3"/>
            <x v="4"/>
          </reference>
        </references>
      </pivotArea>
    </format>
    <format dxfId="277">
      <pivotArea outline="0" collapsedLevelsAreSubtotals="1" fieldPosition="0">
        <references count="1">
          <reference field="3" count="1" selected="0">
            <x v="1"/>
          </reference>
        </references>
      </pivotArea>
    </format>
    <format dxfId="276">
      <pivotArea outline="0" collapsedLevelsAreSubtotals="1" fieldPosition="0">
        <references count="1">
          <reference field="3" count="1" selected="0">
            <x v="2"/>
          </reference>
        </references>
      </pivotArea>
    </format>
    <format dxfId="275">
      <pivotArea outline="0" collapsedLevelsAreSubtotals="1" fieldPosition="0">
        <references count="1">
          <reference field="3" count="1" selected="0">
            <x v="3"/>
          </reference>
        </references>
      </pivotArea>
    </format>
    <format dxfId="274">
      <pivotArea collapsedLevelsAreSubtotals="1" fieldPosition="0">
        <references count="2">
          <reference field="2" count="1">
            <x v="1"/>
          </reference>
          <reference field="3" count="1" selected="0">
            <x v="0"/>
          </reference>
        </references>
      </pivotArea>
    </format>
    <format dxfId="273">
      <pivotArea collapsedLevelsAreSubtotals="1" fieldPosition="0">
        <references count="2">
          <reference field="2" count="1">
            <x v="1"/>
          </reference>
          <reference field="3" count="1" selected="0">
            <x v="1"/>
          </reference>
        </references>
      </pivotArea>
    </format>
    <format dxfId="272">
      <pivotArea collapsedLevelsAreSubtotals="1" fieldPosition="0">
        <references count="2">
          <reference field="2" count="1">
            <x v="1"/>
          </reference>
          <reference field="3" count="1" selected="0">
            <x v="2"/>
          </reference>
        </references>
      </pivotArea>
    </format>
    <format dxfId="271">
      <pivotArea collapsedLevelsAreSubtotals="1" fieldPosition="0">
        <references count="2">
          <reference field="2" count="1">
            <x v="1"/>
          </reference>
          <reference field="3" count="1" selected="0">
            <x v="3"/>
          </reference>
        </references>
      </pivotArea>
    </format>
    <format dxfId="270">
      <pivotArea collapsedLevelsAreSubtotals="1" fieldPosition="0">
        <references count="2">
          <reference field="2" count="1">
            <x v="1"/>
          </reference>
          <reference field="3" count="1" selected="0">
            <x v="4"/>
          </reference>
        </references>
      </pivotArea>
    </format>
    <format dxfId="269">
      <pivotArea field="2" grandCol="1" collapsedLevelsAreSubtotals="1" axis="axisRow" fieldPosition="0">
        <references count="1">
          <reference field="2" count="1">
            <x v="1"/>
          </reference>
        </references>
      </pivotArea>
    </format>
    <format dxfId="268">
      <pivotArea type="all" dataOnly="0" outline="0" fieldPosition="0"/>
    </format>
    <format dxfId="267">
      <pivotArea outline="0" collapsedLevelsAreSubtotals="1" fieldPosition="0"/>
    </format>
    <format dxfId="266">
      <pivotArea type="origin" dataOnly="0" labelOnly="1" outline="0" fieldPosition="0"/>
    </format>
    <format dxfId="265">
      <pivotArea field="3" type="button" dataOnly="0" labelOnly="1" outline="0" axis="axisCol" fieldPosition="0"/>
    </format>
    <format dxfId="264">
      <pivotArea type="topRight" dataOnly="0" labelOnly="1" outline="0" fieldPosition="0"/>
    </format>
    <format dxfId="263">
      <pivotArea field="2" type="button" dataOnly="0" labelOnly="1" outline="0" axis="axisRow" fieldPosition="0"/>
    </format>
    <format dxfId="262">
      <pivotArea dataOnly="0" labelOnly="1" fieldPosition="0">
        <references count="1">
          <reference field="2" count="0"/>
        </references>
      </pivotArea>
    </format>
    <format dxfId="261">
      <pivotArea dataOnly="0" labelOnly="1" grandRow="1" outline="0" fieldPosition="0"/>
    </format>
    <format dxfId="260">
      <pivotArea dataOnly="0" labelOnly="1" fieldPosition="0">
        <references count="1">
          <reference field="3" count="0"/>
        </references>
      </pivotArea>
    </format>
    <format dxfId="259">
      <pivotArea dataOnly="0" labelOnly="1" grandCol="1" outline="0" fieldPosition="0"/>
    </format>
    <format dxfId="258">
      <pivotArea dataOnly="0" labelOnly="1" fieldPosition="0">
        <references count="1">
          <reference field="2" count="1">
            <x v="0"/>
          </reference>
        </references>
      </pivotArea>
    </format>
    <format dxfId="257">
      <pivotArea collapsedLevelsAreSubtotals="1" fieldPosition="0">
        <references count="2">
          <reference field="2" count="1">
            <x v="0"/>
          </reference>
          <reference field="3" count="1" selected="0">
            <x v="0"/>
          </reference>
        </references>
      </pivotArea>
    </format>
    <format dxfId="256">
      <pivotArea collapsedLevelsAreSubtotals="1" fieldPosition="0">
        <references count="2">
          <reference field="2" count="1">
            <x v="0"/>
          </reference>
          <reference field="3" count="1" selected="0">
            <x v="1"/>
          </reference>
        </references>
      </pivotArea>
    </format>
    <format dxfId="255">
      <pivotArea collapsedLevelsAreSubtotals="1" fieldPosition="0">
        <references count="2">
          <reference field="2" count="1">
            <x v="0"/>
          </reference>
          <reference field="3" count="1" selected="0">
            <x v="2"/>
          </reference>
        </references>
      </pivotArea>
    </format>
    <format dxfId="254">
      <pivotArea collapsedLevelsAreSubtotals="1" fieldPosition="0">
        <references count="2">
          <reference field="2" count="1">
            <x v="0"/>
          </reference>
          <reference field="3" count="1" selected="0">
            <x v="3"/>
          </reference>
        </references>
      </pivotArea>
    </format>
    <format dxfId="253">
      <pivotArea collapsedLevelsAreSubtotals="1" fieldPosition="0">
        <references count="2">
          <reference field="2" count="1">
            <x v="0"/>
          </reference>
          <reference field="3" count="1" selected="0">
            <x v="4"/>
          </reference>
        </references>
      </pivotArea>
    </format>
    <format dxfId="252">
      <pivotArea field="2" grandCol="1" collapsedLevelsAreSubtotals="1" axis="axisRow" fieldPosition="0">
        <references count="1">
          <reference field="2" count="1">
            <x v="0"/>
          </reference>
        </references>
      </pivotArea>
    </format>
    <format dxfId="251">
      <pivotArea type="all" dataOnly="0" outline="0" fieldPosition="0"/>
    </format>
    <format dxfId="250">
      <pivotArea outline="0" collapsedLevelsAreSubtotals="1" fieldPosition="0"/>
    </format>
    <format dxfId="249">
      <pivotArea type="origin" dataOnly="0" labelOnly="1" outline="0" fieldPosition="0"/>
    </format>
    <format dxfId="248">
      <pivotArea field="3" type="button" dataOnly="0" labelOnly="1" outline="0" axis="axisCol" fieldPosition="0"/>
    </format>
    <format dxfId="247">
      <pivotArea type="topRight" dataOnly="0" labelOnly="1" outline="0" fieldPosition="0"/>
    </format>
    <format dxfId="246">
      <pivotArea field="2" type="button" dataOnly="0" labelOnly="1" outline="0" axis="axisRow" fieldPosition="0"/>
    </format>
    <format dxfId="245">
      <pivotArea dataOnly="0" labelOnly="1" fieldPosition="0">
        <references count="1">
          <reference field="2" count="0"/>
        </references>
      </pivotArea>
    </format>
    <format dxfId="244">
      <pivotArea dataOnly="0" labelOnly="1" fieldPosition="0">
        <references count="1">
          <reference field="3" count="0"/>
        </references>
      </pivotArea>
    </format>
    <format dxfId="243">
      <pivotArea dataOnly="0" labelOnly="1" grandCol="1" outline="0" fieldPosition="0"/>
    </format>
    <format dxfId="242">
      <pivotArea type="origin" dataOnly="0" labelOnly="1" outline="0" fieldPosition="0"/>
    </format>
    <format dxfId="241">
      <pivotArea type="origin" dataOnly="0" labelOnly="1" outline="0" fieldPosition="0"/>
    </format>
    <format dxfId="240">
      <pivotArea field="3" type="button" dataOnly="0" labelOnly="1" outline="0" axis="axisCol" fieldPosition="0"/>
    </format>
    <format dxfId="239">
      <pivotArea type="topRight" dataOnly="0" labelOnly="1" outline="0" offset="B1" fieldPosition="0"/>
    </format>
    <format dxfId="238">
      <pivotArea type="topRight" dataOnly="0" labelOnly="1" outline="0" offset="A1" fieldPosition="0"/>
    </format>
    <format dxfId="237">
      <pivotArea type="topRight" dataOnly="0" labelOnly="1" outline="0" offset="C1" fieldPosition="0"/>
    </format>
    <format dxfId="236">
      <pivotArea type="topRight" dataOnly="0" labelOnly="1" outline="0" offset="D1" fieldPosition="0"/>
    </format>
  </formats>
  <chartFormats count="16">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2">
          <reference field="4294967294" count="1" selected="0">
            <x v="0"/>
          </reference>
          <reference field="3" count="1" selected="0">
            <x v="4"/>
          </reference>
        </references>
      </pivotArea>
    </chartFormat>
    <chartFormat chart="14" format="0" series="1">
      <pivotArea type="data" outline="0" fieldPosition="0">
        <references count="2">
          <reference field="4294967294" count="1" selected="0">
            <x v="0"/>
          </reference>
          <reference field="3" count="1" selected="0">
            <x v="0"/>
          </reference>
        </references>
      </pivotArea>
    </chartFormat>
    <chartFormat chart="14" format="1" series="1">
      <pivotArea type="data" outline="0" fieldPosition="0">
        <references count="2">
          <reference field="4294967294" count="1" selected="0">
            <x v="0"/>
          </reference>
          <reference field="3" count="1" selected="0">
            <x v="1"/>
          </reference>
        </references>
      </pivotArea>
    </chartFormat>
    <chartFormat chart="14" format="2" series="1">
      <pivotArea type="data" outline="0" fieldPosition="0">
        <references count="2">
          <reference field="4294967294" count="1" selected="0">
            <x v="0"/>
          </reference>
          <reference field="3" count="1" selected="0">
            <x v="2"/>
          </reference>
        </references>
      </pivotArea>
    </chartFormat>
    <chartFormat chart="14" format="3" series="1">
      <pivotArea type="data" outline="0" fieldPosition="0">
        <references count="2">
          <reference field="4294967294" count="1" selected="0">
            <x v="0"/>
          </reference>
          <reference field="3" count="1" selected="0">
            <x v="3"/>
          </reference>
        </references>
      </pivotArea>
    </chartFormat>
    <chartFormat chart="14" format="4" series="1">
      <pivotArea type="data" outline="0" fieldPosition="0">
        <references count="2">
          <reference field="4294967294" count="1" selected="0">
            <x v="0"/>
          </reference>
          <reference field="3" count="1" selected="0">
            <x v="4"/>
          </reference>
        </references>
      </pivotArea>
    </chartFormat>
    <chartFormat chart="19" format="10" series="1">
      <pivotArea type="data" outline="0" fieldPosition="0">
        <references count="2">
          <reference field="4294967294" count="1" selected="0">
            <x v="0"/>
          </reference>
          <reference field="3" count="1" selected="0">
            <x v="0"/>
          </reference>
        </references>
      </pivotArea>
    </chartFormat>
    <chartFormat chart="19" format="11" series="1">
      <pivotArea type="data" outline="0" fieldPosition="0">
        <references count="2">
          <reference field="4294967294" count="1" selected="0">
            <x v="0"/>
          </reference>
          <reference field="3" count="1" selected="0">
            <x v="1"/>
          </reference>
        </references>
      </pivotArea>
    </chartFormat>
    <chartFormat chart="19" format="12" series="1">
      <pivotArea type="data" outline="0" fieldPosition="0">
        <references count="2">
          <reference field="4294967294" count="1" selected="0">
            <x v="0"/>
          </reference>
          <reference field="3" count="1" selected="0">
            <x v="2"/>
          </reference>
        </references>
      </pivotArea>
    </chartFormat>
    <chartFormat chart="19" format="13" series="1">
      <pivotArea type="data" outline="0" fieldPosition="0">
        <references count="2">
          <reference field="4294967294" count="1" selected="0">
            <x v="0"/>
          </reference>
          <reference field="3" count="1" selected="0">
            <x v="3"/>
          </reference>
        </references>
      </pivotArea>
    </chartFormat>
    <chartFormat chart="19" format="14" series="1">
      <pivotArea type="data" outline="0" fieldPosition="0">
        <references count="2">
          <reference field="4294967294" count="1" selected="0">
            <x v="0"/>
          </reference>
          <reference field="3" count="1" selected="0">
            <x v="4"/>
          </reference>
        </references>
      </pivotArea>
    </chartFormat>
    <chartFormat chart="19"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707C1BB4-4E32-4AC3-A910-C60231EB5F78}" sourceName="DISEASE">
  <pivotTables>
    <pivotTable tabId="2" name="PivotTable2"/>
  </pivotTables>
  <data>
    <tabular pivotCacheId="1743865701">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3A0776B-6690-4F34-B4DF-FCBD3F563F01}" sourceName="GENDER">
  <pivotTables>
    <pivotTable tabId="2" name="PivotTable3"/>
  </pivotTables>
  <data>
    <tabular pivotCacheId="174386570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1" xr10:uid="{393EEA6A-DABA-4B7F-85EA-876FD1E51CBB}" sourceName="DISEASE">
  <pivotTables>
    <pivotTable tabId="2" name="PivotTable3"/>
  </pivotTables>
  <data>
    <tabular pivotCacheId="1743865701">
      <items count="5">
        <i x="3" s="1"/>
        <i x="4"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C20F5A5-616C-4EDF-BA65-AD80FB8E17F7}" sourceName="AGE">
  <pivotTables>
    <pivotTable tabId="2" name="PivotTable5"/>
  </pivotTables>
  <data>
    <tabular pivotCacheId="1743865701">
      <items count="7">
        <i x="1" s="1"/>
        <i x="2" s="1"/>
        <i x="3" s="1"/>
        <i x="4" s="1"/>
        <i x="5" s="1"/>
        <i x="0" s="1" nd="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TION" xr10:uid="{EDC5144A-06D1-41AB-BFFB-56EDB367E324}" sourceName="MEDICATION">
  <pivotTables>
    <pivotTable tabId="2" name="PivotTable1"/>
  </pivotTables>
  <data>
    <tabular pivotCacheId="1743865701">
      <items count="5">
        <i x="1" s="1"/>
        <i x="3" s="1"/>
        <i x="2" s="1"/>
        <i x="0"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SAGE__MG" xr10:uid="{8655138B-5166-40DB-83DC-80C4602F6E4F}" sourceName="DOSAGE (MG)">
  <pivotTables>
    <pivotTable tabId="2" name="PivotTable1"/>
  </pivotTables>
  <data>
    <tabular pivotCacheId="174386570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EASE" xr10:uid="{B3F835D1-75F4-4CF1-A372-8AC7F8054C3A}" cache="Slicer_DISEASE" caption="DISEASE" rowHeight="234950"/>
  <slicer name="GENDER" xr10:uid="{6CCBCEE2-FDE2-421F-8F81-7047D7B894C9}" cache="Slicer_GENDER" caption="GENDER" style="SlicerStyleLight6" rowHeight="234950"/>
  <slicer name="DISEASE 1" xr10:uid="{DCDA5E9B-E760-4ECC-835A-AE6E8D9220DC}" cache="Slicer_DISEASE1" caption="DISEASE" style="SlicerStyleLight2" rowHeight="234950"/>
  <slicer name="AGE" xr10:uid="{AB9E2233-DB4E-4B19-BB19-1498547AE278}" cache="Slicer_AGE" caption="AGE" style="SlicerStyleLight4" rowHeight="234950"/>
  <slicer name="MEDICATION" xr10:uid="{17688ADD-C567-4C8A-81BD-8DE96BDFB48A}" cache="Slicer_MEDICATION" caption="MEDICATION" style="SlicerStyleLight3" rowHeight="234950"/>
  <slicer name="DOSAGE (MG)" xr10:uid="{6A474DB2-7543-4E96-9B60-FAE42709CE5D}" cache="Slicer_DOSAGE__MG" caption="DOSAGE (MG)"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workbookViewId="0">
      <pane ySplit="1" topLeftCell="A2" activePane="bottomLeft" state="frozen"/>
      <selection pane="bottomLeft" activeCell="J3" sqref="J3"/>
    </sheetView>
  </sheetViews>
  <sheetFormatPr defaultRowHeight="14.4" x14ac:dyDescent="0.3"/>
  <cols>
    <col min="1" max="1" width="13.77734375" customWidth="1"/>
    <col min="2" max="2" width="8" customWidth="1"/>
    <col min="3" max="3" width="10" customWidth="1"/>
    <col min="4" max="4" width="28.77734375" customWidth="1"/>
    <col min="5" max="5" width="34.5546875" customWidth="1"/>
    <col min="6" max="6" width="22.21875" customWidth="1"/>
    <col min="7" max="8" width="5.33203125" customWidth="1"/>
    <col min="9" max="9" width="31.109375" customWidth="1"/>
    <col min="10" max="10" width="34.21875" customWidth="1"/>
    <col min="12" max="12" width="27.77734375" customWidth="1"/>
  </cols>
  <sheetData>
    <row r="1" spans="1:10" ht="19.95" customHeight="1" thickBot="1" x14ac:dyDescent="0.35">
      <c r="A1" s="11" t="s">
        <v>0</v>
      </c>
      <c r="B1" s="11" t="s">
        <v>1</v>
      </c>
      <c r="C1" s="11" t="s">
        <v>2</v>
      </c>
      <c r="D1" s="11" t="s">
        <v>3</v>
      </c>
      <c r="E1" s="11" t="s">
        <v>4</v>
      </c>
      <c r="F1" s="11" t="s">
        <v>5</v>
      </c>
    </row>
    <row r="2" spans="1:10" x14ac:dyDescent="0.3">
      <c r="A2" s="1" t="s">
        <v>6</v>
      </c>
      <c r="B2" s="1">
        <v>28</v>
      </c>
      <c r="C2" s="1" t="s">
        <v>7</v>
      </c>
      <c r="D2" s="1" t="s">
        <v>8</v>
      </c>
      <c r="E2" s="1" t="s">
        <v>9</v>
      </c>
      <c r="F2" s="1">
        <v>500</v>
      </c>
      <c r="I2" s="13" t="s">
        <v>51</v>
      </c>
      <c r="J2" s="14"/>
    </row>
    <row r="3" spans="1:10" x14ac:dyDescent="0.3">
      <c r="A3" s="2" t="s">
        <v>10</v>
      </c>
      <c r="B3" s="1">
        <v>45</v>
      </c>
      <c r="C3" s="1" t="s">
        <v>11</v>
      </c>
      <c r="D3" s="1" t="s">
        <v>12</v>
      </c>
      <c r="E3" s="1" t="s">
        <v>13</v>
      </c>
      <c r="F3" s="1">
        <v>5</v>
      </c>
      <c r="I3" s="15" t="s">
        <v>30</v>
      </c>
      <c r="J3" s="16" cm="1">
        <f t="array" ref="J3">SUMPRODUCT(--(COUNTIF(A1:A16, A1:A16) &gt; 1))</f>
        <v>6</v>
      </c>
    </row>
    <row r="4" spans="1:10" x14ac:dyDescent="0.3">
      <c r="A4" s="1" t="s">
        <v>14</v>
      </c>
      <c r="B4" s="1">
        <v>60</v>
      </c>
      <c r="C4" s="1" t="s">
        <v>7</v>
      </c>
      <c r="D4" s="1" t="s">
        <v>15</v>
      </c>
      <c r="E4" s="1" t="s">
        <v>16</v>
      </c>
      <c r="F4" s="1">
        <v>500</v>
      </c>
      <c r="I4" s="15" t="s">
        <v>31</v>
      </c>
      <c r="J4" s="16">
        <f>COUNTBLANK(A1:F16)</f>
        <v>5</v>
      </c>
    </row>
    <row r="5" spans="1:10" x14ac:dyDescent="0.3">
      <c r="A5" s="2" t="s">
        <v>17</v>
      </c>
      <c r="B5" s="1">
        <v>34</v>
      </c>
      <c r="C5" s="1" t="s">
        <v>11</v>
      </c>
      <c r="D5" s="1" t="s">
        <v>8</v>
      </c>
      <c r="E5" s="1" t="s">
        <v>9</v>
      </c>
      <c r="F5" s="1">
        <v>500</v>
      </c>
      <c r="I5" s="15" t="s">
        <v>32</v>
      </c>
      <c r="J5" s="16">
        <f>COUNTBLANK(D1:D16)</f>
        <v>1</v>
      </c>
    </row>
    <row r="6" spans="1:10" x14ac:dyDescent="0.3">
      <c r="A6" s="1" t="s">
        <v>20</v>
      </c>
      <c r="B6" s="1">
        <v>50</v>
      </c>
      <c r="C6" s="1" t="s">
        <v>7</v>
      </c>
      <c r="D6" s="1" t="s">
        <v>21</v>
      </c>
      <c r="E6" s="1" t="s">
        <v>22</v>
      </c>
      <c r="F6" s="1">
        <v>400</v>
      </c>
      <c r="I6" s="15" t="s">
        <v>33</v>
      </c>
      <c r="J6" s="16">
        <f>COUNTBLANK(E1:E16)</f>
        <v>1</v>
      </c>
    </row>
    <row r="7" spans="1:10" ht="15" thickBot="1" x14ac:dyDescent="0.35">
      <c r="A7" s="2" t="s">
        <v>23</v>
      </c>
      <c r="B7" s="1">
        <v>29</v>
      </c>
      <c r="C7" s="1" t="s">
        <v>11</v>
      </c>
      <c r="D7" s="1" t="s">
        <v>8</v>
      </c>
      <c r="E7" s="1" t="s">
        <v>9</v>
      </c>
      <c r="F7" s="1">
        <v>500</v>
      </c>
      <c r="I7" s="17" t="s">
        <v>34</v>
      </c>
      <c r="J7" s="18">
        <f>COUNTBLANK(F1:F16)</f>
        <v>1</v>
      </c>
    </row>
    <row r="8" spans="1:10" ht="15" thickBot="1" x14ac:dyDescent="0.35">
      <c r="A8" s="1" t="s">
        <v>24</v>
      </c>
      <c r="B8" s="1">
        <v>41</v>
      </c>
      <c r="C8" s="1" t="s">
        <v>7</v>
      </c>
      <c r="D8" s="1" t="s">
        <v>12</v>
      </c>
      <c r="E8" s="3"/>
      <c r="F8" s="1">
        <v>5</v>
      </c>
    </row>
    <row r="9" spans="1:10" x14ac:dyDescent="0.3">
      <c r="A9" s="1" t="s">
        <v>25</v>
      </c>
      <c r="B9" s="3"/>
      <c r="C9" s="1" t="s">
        <v>11</v>
      </c>
      <c r="D9" s="1" t="s">
        <v>15</v>
      </c>
      <c r="E9" s="1" t="s">
        <v>16</v>
      </c>
      <c r="F9" s="1">
        <v>500</v>
      </c>
      <c r="I9" s="5" t="s">
        <v>35</v>
      </c>
      <c r="J9" s="6"/>
    </row>
    <row r="10" spans="1:10" ht="15" thickBot="1" x14ac:dyDescent="0.35">
      <c r="A10" s="2" t="s">
        <v>17</v>
      </c>
      <c r="B10" s="1">
        <v>34</v>
      </c>
      <c r="C10" s="1" t="s">
        <v>11</v>
      </c>
      <c r="D10" s="1" t="s">
        <v>8</v>
      </c>
      <c r="E10" s="1" t="s">
        <v>9</v>
      </c>
      <c r="F10" s="1">
        <v>500</v>
      </c>
      <c r="I10" s="7" t="s">
        <v>50</v>
      </c>
      <c r="J10" s="8"/>
    </row>
    <row r="11" spans="1:10" x14ac:dyDescent="0.3">
      <c r="A11" s="1" t="s">
        <v>26</v>
      </c>
      <c r="B11" s="1">
        <v>55</v>
      </c>
      <c r="C11" s="1" t="s">
        <v>7</v>
      </c>
      <c r="D11" s="3"/>
      <c r="E11" s="1" t="s">
        <v>22</v>
      </c>
      <c r="F11" s="1">
        <v>400</v>
      </c>
    </row>
    <row r="12" spans="1:10" x14ac:dyDescent="0.3">
      <c r="A12" s="1" t="s">
        <v>27</v>
      </c>
      <c r="B12" s="1">
        <v>38</v>
      </c>
      <c r="C12" s="3"/>
      <c r="D12" s="1" t="s">
        <v>8</v>
      </c>
      <c r="E12" s="1" t="s">
        <v>9</v>
      </c>
      <c r="F12" s="1">
        <v>500</v>
      </c>
    </row>
    <row r="13" spans="1:10" x14ac:dyDescent="0.3">
      <c r="A13" s="2" t="s">
        <v>10</v>
      </c>
      <c r="B13" s="1">
        <v>45</v>
      </c>
      <c r="C13" s="1" t="s">
        <v>11</v>
      </c>
      <c r="D13" s="1" t="s">
        <v>12</v>
      </c>
      <c r="E13" s="1" t="s">
        <v>13</v>
      </c>
      <c r="F13" s="1">
        <v>5</v>
      </c>
    </row>
    <row r="14" spans="1:10" x14ac:dyDescent="0.3">
      <c r="A14" s="1" t="s">
        <v>28</v>
      </c>
      <c r="B14" s="1">
        <v>62</v>
      </c>
      <c r="C14" s="1" t="s">
        <v>11</v>
      </c>
      <c r="D14" s="1" t="s">
        <v>21</v>
      </c>
      <c r="E14" s="1" t="s">
        <v>22</v>
      </c>
      <c r="F14" s="3"/>
    </row>
    <row r="15" spans="1:10" x14ac:dyDescent="0.3">
      <c r="A15" s="1" t="s">
        <v>29</v>
      </c>
      <c r="B15" s="1">
        <v>33</v>
      </c>
      <c r="C15" s="1" t="s">
        <v>7</v>
      </c>
      <c r="D15" s="1" t="s">
        <v>18</v>
      </c>
      <c r="E15" s="1" t="s">
        <v>19</v>
      </c>
      <c r="F15" s="1">
        <v>100</v>
      </c>
    </row>
    <row r="16" spans="1:10" x14ac:dyDescent="0.3">
      <c r="A16" s="2" t="s">
        <v>23</v>
      </c>
      <c r="B16" s="1">
        <v>29</v>
      </c>
      <c r="C16" s="1" t="s">
        <v>11</v>
      </c>
      <c r="D16" s="1" t="s">
        <v>8</v>
      </c>
      <c r="E16" s="1" t="s">
        <v>9</v>
      </c>
      <c r="F16" s="1">
        <v>500</v>
      </c>
    </row>
    <row r="18" spans="1:8" x14ac:dyDescent="0.3">
      <c r="A18" s="4"/>
    </row>
    <row r="20" spans="1:8" x14ac:dyDescent="0.3">
      <c r="F20" s="10"/>
      <c r="G20" s="10"/>
      <c r="H20" s="10"/>
    </row>
  </sheetData>
  <conditionalFormatting sqref="A1:F16 I2">
    <cfRule type="containsBlanks" dxfId="193" priority="1">
      <formula>LEN(TRIM(A1))=0</formula>
    </cfRule>
  </conditionalFormatting>
  <conditionalFormatting sqref="I9:I10 A1:A18 A21:A1048576">
    <cfRule type="duplicateValues" dxfId="192" priority="2"/>
  </conditionalFormatting>
  <pageMargins left="0.75" right="0.75" top="1" bottom="1" header="0.5" footer="0.5"/>
  <pageSetup paperSize="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732A2-6784-4065-A4BE-6B934687E051}">
  <dimension ref="A1:R23"/>
  <sheetViews>
    <sheetView tabSelected="1" workbookViewId="0">
      <selection activeCell="S3" sqref="S3"/>
    </sheetView>
  </sheetViews>
  <sheetFormatPr defaultRowHeight="14.4" x14ac:dyDescent="0.3"/>
  <cols>
    <col min="1" max="1" width="15.109375" customWidth="1"/>
    <col min="3" max="3" width="11.6640625" customWidth="1"/>
    <col min="4" max="4" width="14.77734375" customWidth="1"/>
    <col min="5" max="5" width="18.77734375" customWidth="1"/>
    <col min="6" max="6" width="19" customWidth="1"/>
    <col min="7" max="7" width="1" customWidth="1"/>
    <col min="8" max="8" width="2.6640625" customWidth="1"/>
    <col min="9" max="9" width="2.109375" customWidth="1"/>
    <col min="10" max="10" width="28.33203125" customWidth="1"/>
    <col min="11" max="11" width="26.21875" customWidth="1"/>
    <col min="12" max="12" width="8.21875" customWidth="1"/>
    <col min="13" max="13" width="23.21875" customWidth="1"/>
    <col min="14" max="14" width="23.6640625" customWidth="1"/>
    <col min="15" max="15" width="8.77734375" customWidth="1"/>
    <col min="16" max="16" width="34.88671875" customWidth="1"/>
    <col min="17" max="17" width="6.33203125" customWidth="1"/>
    <col min="18" max="18" width="1.33203125" customWidth="1"/>
  </cols>
  <sheetData>
    <row r="1" spans="1:18" ht="18" x14ac:dyDescent="0.35">
      <c r="A1" s="11" t="s">
        <v>0</v>
      </c>
      <c r="B1" s="11" t="s">
        <v>1</v>
      </c>
      <c r="C1" s="11" t="s">
        <v>2</v>
      </c>
      <c r="D1" s="11" t="s">
        <v>3</v>
      </c>
      <c r="E1" s="11" t="s">
        <v>4</v>
      </c>
      <c r="F1" s="11" t="s">
        <v>5</v>
      </c>
      <c r="G1" s="12"/>
      <c r="J1" s="31" t="s">
        <v>56</v>
      </c>
      <c r="K1" s="32"/>
      <c r="M1" s="34" t="s">
        <v>54</v>
      </c>
      <c r="N1" s="34"/>
      <c r="R1" s="12"/>
    </row>
    <row r="2" spans="1:18" x14ac:dyDescent="0.3">
      <c r="A2" s="1" t="s">
        <v>6</v>
      </c>
      <c r="B2" s="1">
        <v>28</v>
      </c>
      <c r="C2" s="1" t="s">
        <v>7</v>
      </c>
      <c r="D2" s="1" t="s">
        <v>8</v>
      </c>
      <c r="E2" s="1" t="s">
        <v>9</v>
      </c>
      <c r="F2" s="1">
        <v>500</v>
      </c>
      <c r="G2" s="12"/>
      <c r="J2" s="23" t="s">
        <v>42</v>
      </c>
      <c r="K2" s="24" t="s">
        <v>43</v>
      </c>
      <c r="L2" s="19"/>
      <c r="M2" s="23" t="s">
        <v>47</v>
      </c>
      <c r="N2" s="24" t="s">
        <v>48</v>
      </c>
      <c r="O2" s="19"/>
      <c r="P2" s="19"/>
      <c r="R2" s="12"/>
    </row>
    <row r="3" spans="1:18" x14ac:dyDescent="0.3">
      <c r="A3" s="1" t="s">
        <v>10</v>
      </c>
      <c r="B3" s="1">
        <v>45</v>
      </c>
      <c r="C3" s="1" t="s">
        <v>11</v>
      </c>
      <c r="D3" s="1" t="s">
        <v>12</v>
      </c>
      <c r="E3" s="1" t="s">
        <v>13</v>
      </c>
      <c r="F3" s="1">
        <v>5</v>
      </c>
      <c r="G3" s="12"/>
      <c r="J3" s="25" t="s">
        <v>12</v>
      </c>
      <c r="K3" s="42">
        <v>2</v>
      </c>
      <c r="L3" s="19"/>
      <c r="M3" s="25" t="s">
        <v>9</v>
      </c>
      <c r="N3" s="25">
        <v>500</v>
      </c>
      <c r="O3" s="19"/>
      <c r="P3" s="19"/>
      <c r="R3" s="12"/>
    </row>
    <row r="4" spans="1:18" x14ac:dyDescent="0.3">
      <c r="A4" s="1" t="s">
        <v>14</v>
      </c>
      <c r="B4" s="1">
        <v>60</v>
      </c>
      <c r="C4" s="1" t="s">
        <v>7</v>
      </c>
      <c r="D4" s="1" t="s">
        <v>15</v>
      </c>
      <c r="E4" s="1" t="s">
        <v>16</v>
      </c>
      <c r="F4" s="1">
        <v>500</v>
      </c>
      <c r="G4" s="12"/>
      <c r="J4" s="26" t="s">
        <v>8</v>
      </c>
      <c r="K4" s="44">
        <v>4</v>
      </c>
      <c r="L4" s="19"/>
      <c r="M4" s="26" t="s">
        <v>16</v>
      </c>
      <c r="N4" s="26">
        <v>500</v>
      </c>
      <c r="O4" s="19"/>
      <c r="P4" s="19"/>
      <c r="R4" s="12"/>
    </row>
    <row r="5" spans="1:18" x14ac:dyDescent="0.3">
      <c r="A5" s="1" t="s">
        <v>17</v>
      </c>
      <c r="B5" s="1">
        <v>34</v>
      </c>
      <c r="C5" s="1" t="s">
        <v>11</v>
      </c>
      <c r="D5" s="1" t="s">
        <v>8</v>
      </c>
      <c r="E5" s="1" t="s">
        <v>9</v>
      </c>
      <c r="F5" s="1">
        <v>500</v>
      </c>
      <c r="G5" s="12"/>
      <c r="J5" s="26" t="s">
        <v>15</v>
      </c>
      <c r="K5" s="44">
        <v>2</v>
      </c>
      <c r="L5" s="19"/>
      <c r="M5" s="26" t="s">
        <v>22</v>
      </c>
      <c r="N5" s="26">
        <v>400</v>
      </c>
      <c r="O5" s="19"/>
      <c r="P5" s="19"/>
      <c r="R5" s="12"/>
    </row>
    <row r="6" spans="1:18" x14ac:dyDescent="0.3">
      <c r="A6" s="1" t="s">
        <v>20</v>
      </c>
      <c r="B6" s="1">
        <v>50</v>
      </c>
      <c r="C6" s="1" t="s">
        <v>7</v>
      </c>
      <c r="D6" s="1" t="s">
        <v>21</v>
      </c>
      <c r="E6" s="1" t="s">
        <v>22</v>
      </c>
      <c r="F6" s="1">
        <v>400</v>
      </c>
      <c r="G6" s="12"/>
      <c r="J6" s="26" t="s">
        <v>18</v>
      </c>
      <c r="K6" s="43">
        <v>1</v>
      </c>
      <c r="L6" s="19"/>
      <c r="M6" s="26" t="s">
        <v>19</v>
      </c>
      <c r="N6" s="26">
        <v>100</v>
      </c>
      <c r="O6" s="19"/>
      <c r="P6" s="19"/>
      <c r="R6" s="12"/>
    </row>
    <row r="7" spans="1:18" x14ac:dyDescent="0.3">
      <c r="A7" s="1" t="s">
        <v>23</v>
      </c>
      <c r="B7" s="1">
        <v>29</v>
      </c>
      <c r="C7" s="1" t="s">
        <v>11</v>
      </c>
      <c r="D7" s="1" t="s">
        <v>8</v>
      </c>
      <c r="E7" s="1" t="s">
        <v>9</v>
      </c>
      <c r="F7" s="1">
        <v>500</v>
      </c>
      <c r="G7" s="12"/>
      <c r="J7" s="27" t="s">
        <v>21</v>
      </c>
      <c r="K7" s="44">
        <v>3</v>
      </c>
      <c r="L7" s="19"/>
      <c r="M7" s="27" t="s">
        <v>13</v>
      </c>
      <c r="N7" s="27">
        <v>5</v>
      </c>
      <c r="O7" s="19"/>
      <c r="P7" s="19"/>
      <c r="R7" s="12"/>
    </row>
    <row r="8" spans="1:18" x14ac:dyDescent="0.3">
      <c r="A8" s="1" t="s">
        <v>24</v>
      </c>
      <c r="B8" s="1">
        <v>41</v>
      </c>
      <c r="C8" s="1" t="s">
        <v>7</v>
      </c>
      <c r="D8" s="1" t="s">
        <v>12</v>
      </c>
      <c r="E8" s="9" t="s">
        <v>13</v>
      </c>
      <c r="F8" s="1">
        <v>5</v>
      </c>
      <c r="G8" s="12"/>
      <c r="J8" s="24" t="s">
        <v>36</v>
      </c>
      <c r="K8" s="43">
        <v>12</v>
      </c>
      <c r="L8" s="19"/>
      <c r="M8" s="19"/>
      <c r="N8" s="19"/>
      <c r="O8" s="19"/>
      <c r="P8" s="19"/>
      <c r="R8" s="12"/>
    </row>
    <row r="9" spans="1:18" x14ac:dyDescent="0.3">
      <c r="A9" s="1" t="s">
        <v>25</v>
      </c>
      <c r="B9" s="1">
        <v>52</v>
      </c>
      <c r="C9" s="1" t="s">
        <v>11</v>
      </c>
      <c r="D9" s="1" t="s">
        <v>15</v>
      </c>
      <c r="E9" s="1" t="s">
        <v>16</v>
      </c>
      <c r="F9" s="1">
        <v>500</v>
      </c>
      <c r="G9" s="12"/>
      <c r="J9" s="19"/>
      <c r="K9" s="19"/>
      <c r="L9" s="19"/>
      <c r="M9" s="19"/>
      <c r="N9" s="19"/>
      <c r="O9" s="19"/>
      <c r="P9" s="19"/>
      <c r="R9" s="12"/>
    </row>
    <row r="10" spans="1:18" ht="28.2" x14ac:dyDescent="0.3">
      <c r="A10" s="1" t="s">
        <v>26</v>
      </c>
      <c r="B10" s="1">
        <v>55</v>
      </c>
      <c r="C10" s="1" t="s">
        <v>7</v>
      </c>
      <c r="D10" s="9" t="s">
        <v>21</v>
      </c>
      <c r="E10" s="1" t="s">
        <v>22</v>
      </c>
      <c r="F10" s="1">
        <v>400</v>
      </c>
      <c r="G10" s="12"/>
      <c r="J10" s="36" t="s">
        <v>55</v>
      </c>
      <c r="K10" s="37" t="s">
        <v>46</v>
      </c>
      <c r="L10" s="39"/>
      <c r="M10" s="38"/>
      <c r="N10" s="38"/>
      <c r="O10" s="40"/>
      <c r="P10" s="41"/>
      <c r="R10" s="12"/>
    </row>
    <row r="11" spans="1:18" x14ac:dyDescent="0.3">
      <c r="A11" s="1" t="s">
        <v>27</v>
      </c>
      <c r="B11" s="1">
        <v>38</v>
      </c>
      <c r="C11" s="9" t="s">
        <v>7</v>
      </c>
      <c r="D11" s="1" t="s">
        <v>8</v>
      </c>
      <c r="E11" s="1" t="s">
        <v>9</v>
      </c>
      <c r="F11" s="1">
        <v>500</v>
      </c>
      <c r="G11" s="12"/>
      <c r="J11" s="23" t="s">
        <v>42</v>
      </c>
      <c r="K11" s="24" t="s">
        <v>12</v>
      </c>
      <c r="L11" s="28" t="s">
        <v>8</v>
      </c>
      <c r="M11" s="28" t="s">
        <v>15</v>
      </c>
      <c r="N11" s="28" t="s">
        <v>18</v>
      </c>
      <c r="O11" s="29" t="s">
        <v>21</v>
      </c>
      <c r="P11" s="22" t="s">
        <v>53</v>
      </c>
      <c r="R11" s="12"/>
    </row>
    <row r="12" spans="1:18" ht="19.8" customHeight="1" x14ac:dyDescent="0.3">
      <c r="A12" s="1" t="s">
        <v>28</v>
      </c>
      <c r="B12" s="1">
        <v>62</v>
      </c>
      <c r="C12" s="1" t="s">
        <v>11</v>
      </c>
      <c r="D12" s="1" t="s">
        <v>21</v>
      </c>
      <c r="E12" s="1" t="s">
        <v>22</v>
      </c>
      <c r="F12" s="1">
        <v>400</v>
      </c>
      <c r="G12" s="12"/>
      <c r="J12" s="24" t="s">
        <v>44</v>
      </c>
      <c r="K12" s="24">
        <v>1</v>
      </c>
      <c r="L12" s="29">
        <v>2</v>
      </c>
      <c r="M12" s="29">
        <v>1</v>
      </c>
      <c r="N12" s="29">
        <v>1</v>
      </c>
      <c r="O12" s="29">
        <v>2</v>
      </c>
      <c r="P12" s="21"/>
      <c r="R12" s="12"/>
    </row>
    <row r="13" spans="1:18" ht="27" customHeight="1" x14ac:dyDescent="0.3">
      <c r="A13" s="1" t="s">
        <v>29</v>
      </c>
      <c r="B13" s="1">
        <v>33</v>
      </c>
      <c r="C13" s="1" t="s">
        <v>7</v>
      </c>
      <c r="D13" s="1" t="s">
        <v>18</v>
      </c>
      <c r="E13" s="1" t="s">
        <v>19</v>
      </c>
      <c r="F13" s="1">
        <v>100</v>
      </c>
      <c r="G13" s="12"/>
      <c r="J13" s="27" t="s">
        <v>45</v>
      </c>
      <c r="K13" s="27">
        <v>1</v>
      </c>
      <c r="L13" s="30">
        <v>2</v>
      </c>
      <c r="M13" s="30">
        <v>1</v>
      </c>
      <c r="N13" s="30"/>
      <c r="O13" s="30">
        <v>1</v>
      </c>
      <c r="P13" s="21"/>
      <c r="R13" s="12"/>
    </row>
    <row r="14" spans="1:18" x14ac:dyDescent="0.3">
      <c r="G14" s="12"/>
      <c r="J14" s="19"/>
      <c r="K14" s="19"/>
      <c r="L14" s="19"/>
      <c r="M14" s="19"/>
      <c r="N14" s="19"/>
      <c r="O14" s="19"/>
      <c r="P14" s="19"/>
      <c r="R14" s="12"/>
    </row>
    <row r="15" spans="1:18" ht="28.2" x14ac:dyDescent="0.3">
      <c r="G15" s="12"/>
      <c r="J15" s="35" t="s">
        <v>57</v>
      </c>
      <c r="K15" s="33"/>
      <c r="L15" s="20"/>
      <c r="M15" s="20"/>
      <c r="N15" s="20"/>
      <c r="O15" s="20"/>
      <c r="P15" s="20"/>
      <c r="R15" s="12"/>
    </row>
    <row r="16" spans="1:18" x14ac:dyDescent="0.3">
      <c r="G16" s="12"/>
      <c r="J16" s="23" t="s">
        <v>52</v>
      </c>
      <c r="K16" s="24" t="s">
        <v>49</v>
      </c>
      <c r="L16" s="19"/>
      <c r="O16" s="19"/>
      <c r="P16" s="19"/>
      <c r="R16" s="12"/>
    </row>
    <row r="17" spans="1:18" x14ac:dyDescent="0.3">
      <c r="G17" s="12"/>
      <c r="J17" s="25" t="s">
        <v>37</v>
      </c>
      <c r="K17" s="25">
        <v>2</v>
      </c>
      <c r="L17" s="19"/>
      <c r="O17" s="19"/>
      <c r="P17" s="19"/>
      <c r="R17" s="12"/>
    </row>
    <row r="18" spans="1:18" x14ac:dyDescent="0.3">
      <c r="G18" s="12"/>
      <c r="J18" s="26" t="s">
        <v>38</v>
      </c>
      <c r="K18" s="26">
        <v>3</v>
      </c>
      <c r="L18" s="19"/>
      <c r="O18" s="19"/>
      <c r="P18" s="19"/>
      <c r="R18" s="12"/>
    </row>
    <row r="19" spans="1:18" x14ac:dyDescent="0.3">
      <c r="G19" s="12"/>
      <c r="J19" s="26" t="s">
        <v>39</v>
      </c>
      <c r="K19" s="26">
        <v>2</v>
      </c>
      <c r="L19" s="19"/>
      <c r="O19" s="19"/>
      <c r="P19" s="19"/>
      <c r="R19" s="12"/>
    </row>
    <row r="20" spans="1:18" x14ac:dyDescent="0.3">
      <c r="G20" s="12"/>
      <c r="J20" s="26" t="s">
        <v>40</v>
      </c>
      <c r="K20" s="26">
        <v>3</v>
      </c>
      <c r="L20" s="19"/>
      <c r="O20" s="19"/>
      <c r="P20" s="19"/>
      <c r="R20" s="12"/>
    </row>
    <row r="21" spans="1:18" x14ac:dyDescent="0.3">
      <c r="G21" s="12"/>
      <c r="J21" s="27" t="s">
        <v>41</v>
      </c>
      <c r="K21" s="27">
        <v>2</v>
      </c>
      <c r="L21" s="19"/>
      <c r="O21" s="19"/>
      <c r="P21" s="19"/>
      <c r="R21" s="12"/>
    </row>
    <row r="22" spans="1:18" x14ac:dyDescent="0.3">
      <c r="G22" s="12"/>
      <c r="R22" s="12"/>
    </row>
    <row r="23" spans="1:18" ht="9.6" customHeight="1" x14ac:dyDescent="0.3">
      <c r="A23" s="12"/>
      <c r="B23" s="12"/>
      <c r="C23" s="12"/>
      <c r="D23" s="12"/>
      <c r="E23" s="12"/>
      <c r="F23" s="12"/>
      <c r="G23" s="12"/>
      <c r="H23" s="12"/>
      <c r="I23" s="12"/>
      <c r="J23" s="12"/>
      <c r="K23" s="12"/>
      <c r="L23" s="12"/>
      <c r="M23" s="12"/>
      <c r="N23" s="12"/>
      <c r="O23" s="12"/>
      <c r="P23" s="12"/>
      <c r="Q23" s="12"/>
      <c r="R23" s="12"/>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1FB4BEAF-96DD-4CBF-843C-D263CBF50ED3}">
          <x14:colorSeries rgb="FF000000"/>
          <x14:colorNegative rgb="FF0070C0"/>
          <x14:colorAxis rgb="FF000000"/>
          <x14:colorMarkers rgb="FF0070C0"/>
          <x14:colorFirst rgb="FF0070C0"/>
          <x14:colorLast rgb="FF0070C0"/>
          <x14:colorHigh rgb="FF0070C0"/>
          <x14:colorLow rgb="FF0070C0"/>
          <x14:sparklines>
            <x14:sparkline>
              <xm:f>'Patient Records(CLEAN&amp;ANALYSED)'!J12:O12</xm:f>
              <xm:sqref>P12</xm:sqref>
            </x14:sparkline>
          </x14:sparklines>
        </x14:sparklineGroup>
        <x14:sparklineGroup type="column" displayEmptyCellsAs="gap" xr2:uid="{3CA4D261-B6EE-471B-BE27-33E2D0E3462B}">
          <x14:colorSeries rgb="FF376092"/>
          <x14:colorNegative rgb="FFD00000"/>
          <x14:colorAxis rgb="FF000000"/>
          <x14:colorMarkers rgb="FFD00000"/>
          <x14:colorFirst rgb="FFD00000"/>
          <x14:colorLast rgb="FFD00000"/>
          <x14:colorHigh rgb="FFD00000"/>
          <x14:colorLow rgb="FFD00000"/>
          <x14:sparklines>
            <x14:sparkline>
              <xm:f>'Patient Records(CLEAN&amp;ANALYSED)'!J13:O13</xm:f>
              <xm:sqref>P13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1284A-1080-4025-A4DC-29A810D6378D}">
  <dimension ref="A1"/>
  <sheetViews>
    <sheetView topLeftCell="B1" workbookViewId="0">
      <selection activeCell="S3" sqref="S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Data_Cleaning_And_Basic_Analysi</vt:lpstr>
      <vt:lpstr>Patient Records(CLEAN&amp;ANALYSED)</vt:lpstr>
      <vt:lpstr>DATA 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 P</cp:lastModifiedBy>
  <cp:lastPrinted>2026-09-03T14:17:02Z</cp:lastPrinted>
  <dcterms:created xsi:type="dcterms:W3CDTF">2026-09-03T05:29:10Z</dcterms:created>
  <dcterms:modified xsi:type="dcterms:W3CDTF">2026-09-05T10:17:24Z</dcterms:modified>
</cp:coreProperties>
</file>