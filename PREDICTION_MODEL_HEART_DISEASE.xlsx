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ESH BABU C\Documents\SNEHA\VIRTUAL WORKS LAB INTERNSHIP\DA\"/>
    </mc:Choice>
  </mc:AlternateContent>
  <xr:revisionPtr revIDLastSave="0" documentId="13_ncr:1_{A91A2114-C911-4EE3-BF2C-93F3382F4D19}" xr6:coauthVersionLast="47" xr6:coauthVersionMax="47" xr10:uidLastSave="{00000000-0000-0000-0000-000000000000}"/>
  <bookViews>
    <workbookView xWindow="-108" yWindow="-108" windowWidth="23256" windowHeight="12456" firstSheet="2" activeTab="4" xr2:uid="{EBF64EF2-1B38-495A-B575-400F0004721D}"/>
  </bookViews>
  <sheets>
    <sheet name="ACTUAL_DATASET" sheetId="1" r:id="rId1"/>
    <sheet name="LOGISTIC_REGRESSION&amp;EVALUATION" sheetId="2" r:id="rId2"/>
    <sheet name="DECISION_TREE" sheetId="3" r:id="rId3"/>
    <sheet name="PREDICTION_MODEL_NEW_PATIENT" sheetId="4" r:id="rId4"/>
    <sheet name="MODEL_OUTPUT" sheetId="5" r:id="rId5"/>
  </sheets>
  <definedNames>
    <definedName name="_xlchart.v1.0" hidden="1">'LOGISTIC_REGRESSION&amp;EVALUATION'!$H$71:$H$74</definedName>
    <definedName name="_xlchart.v1.1" hidden="1">'LOGISTIC_REGRESSION&amp;EVALUATION'!$J$70</definedName>
    <definedName name="_xlchart.v1.2" hidden="1">'LOGISTIC_REGRESSION&amp;EVALUATION'!$J$71:$J$74</definedName>
    <definedName name="_xlchart.v1.3" hidden="1">DECISION_TREE!$H$45:$H$48</definedName>
    <definedName name="_xlchart.v1.4" hidden="1">DECISION_TREE!$J$45:$J$48</definedName>
    <definedName name="_xlchart.v1.5" hidden="1">DECISION_TREE!$K$45:$K$48</definedName>
  </definedNames>
  <calcPr calcId="191029"/>
  <pivotCaches>
    <pivotCache cacheId="0" r:id="rId6"/>
    <pivotCache cacheId="1" r:id="rId7"/>
    <pivotCache cacheId="2" r:id="rId8"/>
    <pivotCache cacheId="3" r:id="rId9"/>
    <pivotCache cacheId="8" r:id="rId10"/>
    <pivotCache cacheId="1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1" i="2" l="1"/>
  <c r="I71" i="2"/>
  <c r="J45" i="3"/>
  <c r="I45" i="3"/>
  <c r="L3" i="1"/>
  <c r="N17" i="3"/>
  <c r="N16" i="3"/>
  <c r="M4" i="2" l="1"/>
  <c r="M3" i="2"/>
  <c r="J48" i="3"/>
  <c r="I48" i="3"/>
  <c r="J47" i="3"/>
  <c r="J46" i="3"/>
  <c r="I47" i="3"/>
  <c r="I46" i="3"/>
  <c r="J42" i="3"/>
  <c r="J41" i="3"/>
  <c r="I42" i="3"/>
  <c r="I41" i="3"/>
  <c r="C19" i="4"/>
  <c r="L32" i="2"/>
  <c r="L33" i="2"/>
  <c r="J68" i="2" s="1"/>
  <c r="L34" i="2"/>
  <c r="J67" i="2" s="1"/>
  <c r="L35" i="2"/>
  <c r="I68" i="2" s="1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31" i="2"/>
  <c r="C8" i="4" l="1"/>
  <c r="C22" i="4" a="1"/>
  <c r="C22" i="4" s="1"/>
  <c r="H3" i="3" a="1"/>
  <c r="H3" i="3"/>
  <c r="C12" i="4"/>
  <c r="C9" i="4"/>
  <c r="C10" i="4"/>
  <c r="C13" i="4"/>
  <c r="C11" i="4"/>
  <c r="J23" i="3"/>
  <c r="J12" i="3"/>
  <c r="H27" i="3" a="1"/>
  <c r="H27" i="3" s="1"/>
  <c r="J27" i="3" s="1"/>
  <c r="H28" i="3" a="1"/>
  <c r="H28" i="3" s="1"/>
  <c r="J28" i="3" s="1"/>
  <c r="H29" i="3" a="1"/>
  <c r="H29" i="3" s="1"/>
  <c r="J29" i="3" s="1"/>
  <c r="H30" i="3" a="1"/>
  <c r="H30" i="3"/>
  <c r="J30" i="3" s="1"/>
  <c r="H31" i="3" a="1"/>
  <c r="H31" i="3" s="1"/>
  <c r="J31" i="3" s="1"/>
  <c r="H32" i="3" a="1"/>
  <c r="H32" i="3"/>
  <c r="J32" i="3" s="1"/>
  <c r="H33" i="3" a="1"/>
  <c r="H33" i="3" s="1"/>
  <c r="J33" i="3" s="1"/>
  <c r="H34" i="3" a="1"/>
  <c r="H34" i="3"/>
  <c r="J34" i="3" s="1"/>
  <c r="H6" i="3" a="1"/>
  <c r="H6" i="3" s="1"/>
  <c r="J6" i="3" s="1"/>
  <c r="H7" i="3" a="1"/>
  <c r="H7" i="3"/>
  <c r="J7" i="3" s="1"/>
  <c r="H8" i="3" a="1"/>
  <c r="H8" i="3" s="1"/>
  <c r="J8" i="3" s="1"/>
  <c r="H9" i="3" a="1"/>
  <c r="H9" i="3" s="1"/>
  <c r="J9" i="3" s="1"/>
  <c r="H10" i="3" a="1"/>
  <c r="H10" i="3" s="1"/>
  <c r="J10" i="3" s="1"/>
  <c r="H11" i="3" a="1"/>
  <c r="H11" i="3" s="1"/>
  <c r="J11" i="3" s="1"/>
  <c r="H12" i="3" a="1"/>
  <c r="H12" i="3" s="1"/>
  <c r="H13" i="3" a="1"/>
  <c r="H13" i="3"/>
  <c r="J13" i="3" s="1"/>
  <c r="H14" i="3" a="1"/>
  <c r="H14" i="3" s="1"/>
  <c r="J14" i="3" s="1"/>
  <c r="H15" i="3" a="1"/>
  <c r="H15" i="3"/>
  <c r="J15" i="3" s="1"/>
  <c r="H16" i="3" a="1"/>
  <c r="H16" i="3" s="1"/>
  <c r="J16" i="3" s="1"/>
  <c r="H17" i="3" a="1"/>
  <c r="H17" i="3" s="1"/>
  <c r="J17" i="3" s="1"/>
  <c r="H18" i="3" a="1"/>
  <c r="H18" i="3" s="1"/>
  <c r="J18" i="3" s="1"/>
  <c r="H19" i="3" a="1"/>
  <c r="H19" i="3" s="1"/>
  <c r="J19" i="3" s="1"/>
  <c r="H20" i="3" a="1"/>
  <c r="H20" i="3" s="1"/>
  <c r="J20" i="3" s="1"/>
  <c r="H21" i="3" a="1"/>
  <c r="H21" i="3"/>
  <c r="J21" i="3" s="1"/>
  <c r="H22" i="3" a="1"/>
  <c r="H22" i="3" s="1"/>
  <c r="J22" i="3" s="1"/>
  <c r="H23" i="3" a="1"/>
  <c r="H23" i="3"/>
  <c r="H24" i="3" a="1"/>
  <c r="H24" i="3" s="1"/>
  <c r="J24" i="3" s="1"/>
  <c r="H25" i="3" a="1"/>
  <c r="H25" i="3" s="1"/>
  <c r="J25" i="3" s="1"/>
  <c r="H26" i="3" a="1"/>
  <c r="H26" i="3" s="1"/>
  <c r="J26" i="3" s="1"/>
  <c r="H4" i="3" a="1"/>
  <c r="H4" i="3" s="1"/>
  <c r="J4" i="3" s="1"/>
  <c r="H5" i="3" a="1"/>
  <c r="H5" i="3"/>
  <c r="J5" i="3" s="1"/>
  <c r="J3" i="3"/>
  <c r="E31" i="2"/>
  <c r="G31" i="2"/>
  <c r="J31" i="2"/>
  <c r="E32" i="2"/>
  <c r="G32" i="2"/>
  <c r="J32" i="2"/>
  <c r="E33" i="2"/>
  <c r="G33" i="2"/>
  <c r="J33" i="2"/>
  <c r="E34" i="2"/>
  <c r="G34" i="2"/>
  <c r="J34" i="2"/>
  <c r="E35" i="2"/>
  <c r="G35" i="2"/>
  <c r="J35" i="2"/>
  <c r="E36" i="2"/>
  <c r="G36" i="2"/>
  <c r="J36" i="2"/>
  <c r="E37" i="2"/>
  <c r="G37" i="2"/>
  <c r="J37" i="2"/>
  <c r="E38" i="2"/>
  <c r="G38" i="2"/>
  <c r="J38" i="2"/>
  <c r="E39" i="2"/>
  <c r="G39" i="2"/>
  <c r="J39" i="2"/>
  <c r="E40" i="2"/>
  <c r="G40" i="2"/>
  <c r="J40" i="2"/>
  <c r="E41" i="2"/>
  <c r="G41" i="2"/>
  <c r="J41" i="2"/>
  <c r="E42" i="2"/>
  <c r="G42" i="2"/>
  <c r="J42" i="2"/>
  <c r="E43" i="2"/>
  <c r="G43" i="2"/>
  <c r="J43" i="2"/>
  <c r="E44" i="2"/>
  <c r="G44" i="2"/>
  <c r="J44" i="2"/>
  <c r="E45" i="2"/>
  <c r="G45" i="2"/>
  <c r="J45" i="2"/>
  <c r="E46" i="2"/>
  <c r="G46" i="2"/>
  <c r="J46" i="2"/>
  <c r="E47" i="2"/>
  <c r="G47" i="2"/>
  <c r="J47" i="2"/>
  <c r="E48" i="2"/>
  <c r="G48" i="2"/>
  <c r="J48" i="2"/>
  <c r="E49" i="2"/>
  <c r="G49" i="2"/>
  <c r="J49" i="2"/>
  <c r="E50" i="2"/>
  <c r="G50" i="2"/>
  <c r="J50" i="2"/>
  <c r="E51" i="2"/>
  <c r="G51" i="2"/>
  <c r="J51" i="2"/>
  <c r="E52" i="2"/>
  <c r="G52" i="2"/>
  <c r="J52" i="2"/>
  <c r="E53" i="2"/>
  <c r="G53" i="2"/>
  <c r="J53" i="2"/>
  <c r="E54" i="2"/>
  <c r="G54" i="2"/>
  <c r="J54" i="2"/>
  <c r="E55" i="2"/>
  <c r="G55" i="2"/>
  <c r="J55" i="2"/>
  <c r="E56" i="2"/>
  <c r="G56" i="2"/>
  <c r="J56" i="2"/>
  <c r="E57" i="2"/>
  <c r="G57" i="2"/>
  <c r="J57" i="2"/>
  <c r="E58" i="2"/>
  <c r="G58" i="2"/>
  <c r="J58" i="2"/>
  <c r="E59" i="2"/>
  <c r="G59" i="2"/>
  <c r="J59" i="2"/>
  <c r="E60" i="2"/>
  <c r="G60" i="2"/>
  <c r="J60" i="2"/>
  <c r="E61" i="2"/>
  <c r="G61" i="2"/>
  <c r="J61" i="2"/>
  <c r="E62" i="2"/>
  <c r="G62" i="2"/>
  <c r="J62" i="2"/>
  <c r="H47" i="2" l="1" a="1"/>
  <c r="H47" i="2" s="1"/>
  <c r="I47" i="2" s="1"/>
  <c r="H43" i="2" a="1"/>
  <c r="H43" i="2" s="1"/>
  <c r="I43" i="2" s="1"/>
  <c r="H39" i="2" a="1"/>
  <c r="H39" i="2" s="1"/>
  <c r="I39" i="2" s="1"/>
  <c r="H35" i="2" a="1"/>
  <c r="H35" i="2" s="1"/>
  <c r="I35" i="2" s="1"/>
  <c r="H31" i="2" a="1"/>
  <c r="H31" i="2" s="1"/>
  <c r="I31" i="2" s="1"/>
  <c r="H32" i="2" a="1"/>
  <c r="H32" i="2" s="1"/>
  <c r="I32" i="2" s="1"/>
  <c r="C17" i="4"/>
  <c r="C18" i="4" s="1"/>
  <c r="H48" i="2" a="1"/>
  <c r="H48" i="2" s="1"/>
  <c r="I48" i="2" s="1"/>
  <c r="H44" i="2" a="1"/>
  <c r="H44" i="2" s="1"/>
  <c r="I44" i="2" s="1"/>
  <c r="H60" i="2" a="1"/>
  <c r="H60" i="2" s="1"/>
  <c r="I60" i="2" s="1"/>
  <c r="H56" i="2" a="1"/>
  <c r="H56" i="2" s="1"/>
  <c r="I56" i="2" s="1"/>
  <c r="H52" i="2" a="1"/>
  <c r="H52" i="2" s="1"/>
  <c r="I52" i="2" s="1"/>
  <c r="H40" i="2" a="1"/>
  <c r="H40" i="2" s="1"/>
  <c r="I40" i="2" s="1"/>
  <c r="H36" i="2" a="1"/>
  <c r="H36" i="2" s="1"/>
  <c r="I36" i="2" s="1"/>
  <c r="H54" i="2" a="1"/>
  <c r="H54" i="2" s="1"/>
  <c r="I54" i="2" s="1"/>
  <c r="H59" i="2" a="1"/>
  <c r="H59" i="2" s="1"/>
  <c r="I59" i="2" s="1"/>
  <c r="H55" i="2" a="1"/>
  <c r="H55" i="2" s="1"/>
  <c r="I55" i="2" s="1"/>
  <c r="H51" i="2" a="1"/>
  <c r="H51" i="2" s="1"/>
  <c r="I51" i="2" s="1"/>
  <c r="H38" i="2" a="1"/>
  <c r="H38" i="2" s="1"/>
  <c r="I38" i="2" s="1"/>
  <c r="H61" i="2" a="1"/>
  <c r="H61" i="2" s="1"/>
  <c r="I61" i="2" s="1"/>
  <c r="H49" i="2" a="1"/>
  <c r="H49" i="2" s="1"/>
  <c r="I49" i="2" s="1"/>
  <c r="H45" i="2" a="1"/>
  <c r="H45" i="2" s="1"/>
  <c r="I45" i="2" s="1"/>
  <c r="H33" i="2" a="1"/>
  <c r="H33" i="2" s="1"/>
  <c r="I33" i="2" s="1"/>
  <c r="H62" i="2" a="1"/>
  <c r="H62" i="2" s="1"/>
  <c r="I62" i="2" s="1"/>
  <c r="H57" i="2" a="1"/>
  <c r="H57" i="2" s="1"/>
  <c r="I57" i="2" s="1"/>
  <c r="H53" i="2" a="1"/>
  <c r="H53" i="2" s="1"/>
  <c r="I53" i="2" s="1"/>
  <c r="H41" i="2" a="1"/>
  <c r="H41" i="2" s="1"/>
  <c r="I41" i="2" s="1"/>
  <c r="H37" i="2" a="1"/>
  <c r="H37" i="2" s="1"/>
  <c r="I37" i="2" s="1"/>
  <c r="H46" i="2" a="1"/>
  <c r="H46" i="2" s="1"/>
  <c r="I46" i="2" s="1"/>
  <c r="H50" i="2" a="1"/>
  <c r="H50" i="2" s="1"/>
  <c r="I50" i="2" s="1"/>
  <c r="H34" i="2" a="1"/>
  <c r="H34" i="2" s="1"/>
  <c r="I34" i="2" s="1"/>
  <c r="H58" i="2" a="1"/>
  <c r="H58" i="2" s="1"/>
  <c r="I58" i="2" s="1"/>
  <c r="H42" i="2" a="1"/>
  <c r="H42" i="2" s="1"/>
  <c r="I42" i="2" s="1"/>
  <c r="N34" i="2" l="1"/>
  <c r="N41" i="2"/>
  <c r="N33" i="2"/>
  <c r="N38" i="2"/>
  <c r="N54" i="2"/>
  <c r="N56" i="2"/>
  <c r="N39" i="2"/>
  <c r="N50" i="2"/>
  <c r="N53" i="2"/>
  <c r="N45" i="2"/>
  <c r="N51" i="2"/>
  <c r="N36" i="2"/>
  <c r="N60" i="2"/>
  <c r="N32" i="2"/>
  <c r="N43" i="2"/>
  <c r="N42" i="2"/>
  <c r="N46" i="2"/>
  <c r="N57" i="2"/>
  <c r="N49" i="2"/>
  <c r="N55" i="2"/>
  <c r="N40" i="2"/>
  <c r="N44" i="2"/>
  <c r="N31" i="2"/>
  <c r="N58" i="2"/>
  <c r="N37" i="2"/>
  <c r="N62" i="2"/>
  <c r="N61" i="2"/>
  <c r="N59" i="2"/>
  <c r="N52" i="2"/>
  <c r="N48" i="2"/>
  <c r="N35" i="2"/>
  <c r="N47" i="2"/>
  <c r="I67" i="2" l="1"/>
  <c r="I73" i="2" l="1"/>
  <c r="I72" i="2"/>
  <c r="J72" i="2" s="1"/>
  <c r="J73" i="2" l="1"/>
  <c r="I74" i="2"/>
  <c r="J7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<sst xmlns="http://schemas.openxmlformats.org/spreadsheetml/2006/main" count="441" uniqueCount="126">
  <si>
    <t>Patient ID</t>
  </si>
  <si>
    <t>Age</t>
  </si>
  <si>
    <t>Systolic BP</t>
  </si>
  <si>
    <t>Diastolic BP</t>
  </si>
  <si>
    <t>Diabetes</t>
  </si>
  <si>
    <t>BMI</t>
  </si>
  <si>
    <t>Smoking</t>
  </si>
  <si>
    <t>Yes</t>
  </si>
  <si>
    <t>No</t>
  </si>
  <si>
    <t>Heart Disease</t>
  </si>
  <si>
    <t>No Disease</t>
  </si>
  <si>
    <t>Predicted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</si>
  <si>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</si>
  <si>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</si>
  <si>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</si>
  <si>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</si>
  <si>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</si>
  <si>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</si>
  <si>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</si>
  <si>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</si>
  <si>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</si>
  <si>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</si>
  <si>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</si>
  <si>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</si>
  <si>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</si>
  <si>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</si>
  <si>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</si>
  <si>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</si>
  <si>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</si>
  <si>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t Stat</t>
  </si>
  <si>
    <t>P-value</t>
  </si>
  <si>
    <t>Lower 95%</t>
  </si>
  <si>
    <t>Upper 95%</t>
  </si>
  <si>
    <t>Lower 95.0%</t>
  </si>
  <si>
    <t>Upper 95.0%</t>
  </si>
  <si>
    <t>Z [linear score]</t>
  </si>
  <si>
    <t>Predicted probability</t>
  </si>
  <si>
    <t>Threshold[predict Heart Disease if probability&gt;= this ]</t>
  </si>
  <si>
    <t>Disease(Actual)</t>
  </si>
  <si>
    <t>Disease (Actual)</t>
  </si>
  <si>
    <t>PREDICTIONS PER PATIENT</t>
  </si>
  <si>
    <t>→ predict No Disease</t>
  </si>
  <si>
    <t>→ predict Heart Disease</t>
  </si>
  <si>
    <t>DECISION RULES</t>
  </si>
  <si>
    <t>Otherwise</t>
  </si>
  <si>
    <t xml:space="preserve"> If Age ≤</t>
  </si>
  <si>
    <t>Else if BMI &gt;</t>
  </si>
  <si>
    <t>Else if Smoking</t>
  </si>
  <si>
    <t>PREDICTION PER PATIENT</t>
  </si>
  <si>
    <t>Age (years)</t>
  </si>
  <si>
    <t>Systolic BP (mmHg)</t>
  </si>
  <si>
    <t>Diastolic BP (mmHg)</t>
  </si>
  <si>
    <t>Prediction Model for New Patient</t>
  </si>
  <si>
    <t>Fill the blue cells</t>
  </si>
  <si>
    <t>LOGISTIC REGRESSION RESULT</t>
  </si>
  <si>
    <t>Linear score (Z)</t>
  </si>
  <si>
    <t>Probabilty of heart disease</t>
  </si>
  <si>
    <t>DECISION TREE RESULT</t>
  </si>
  <si>
    <t>PREDICTED BINARY</t>
  </si>
  <si>
    <t>Predicted=Actual?</t>
  </si>
  <si>
    <t>ACTUAL POSITIVE(1)</t>
  </si>
  <si>
    <t>ACTUAL NEGATIVE(0)</t>
  </si>
  <si>
    <t>PREDICTED POSITIVE(1)</t>
  </si>
  <si>
    <t>PREDICTED NEGATIVE(0)</t>
  </si>
  <si>
    <t>TRUE POSITIVE(TP)</t>
  </si>
  <si>
    <t>FALSE POSITIVE(FP)</t>
  </si>
  <si>
    <t>FALSE NEGATIVE(FN)</t>
  </si>
  <si>
    <t>TRUE NEGATIVE(TN)</t>
  </si>
  <si>
    <t>ACCURACY</t>
  </si>
  <si>
    <t>PRECISION</t>
  </si>
  <si>
    <t>RECALL(SENSITIVITY)</t>
  </si>
  <si>
    <t>TP+TN/(TP+TN+FP+FN)</t>
  </si>
  <si>
    <t>OVERALL CORRECT PREDICTIONS</t>
  </si>
  <si>
    <t>TP/(TP+FP)</t>
  </si>
  <si>
    <t>RELIABILITY WHEN MODEL PREDICTS "HEART DISEASE"</t>
  </si>
  <si>
    <t>TP/(TP+FN)</t>
  </si>
  <si>
    <t>PROPORTION OF ACTUAL PATIENTS FLAGGED</t>
  </si>
  <si>
    <t>PERFORMANCE METRICS</t>
  </si>
  <si>
    <t>FORMULA</t>
  </si>
  <si>
    <t>DESCRIPTION</t>
  </si>
  <si>
    <t>PERFORMANCE METRICS OF LOGISTIC REGRESSION MODEL</t>
  </si>
  <si>
    <t>TP</t>
  </si>
  <si>
    <t>FP</t>
  </si>
  <si>
    <t>TN</t>
  </si>
  <si>
    <t>FN</t>
  </si>
  <si>
    <t>PERFORMANCE METRICS OF DECISION TREE MODEL</t>
  </si>
  <si>
    <t>F1 SCORE</t>
  </si>
  <si>
    <t>2* (PRECISION*RECALL)/(PRECISION +RECALL)</t>
  </si>
  <si>
    <t>HARMONIC MEAN OF PRECISION&amp;RECALL</t>
  </si>
  <si>
    <t>PERCENTAGE</t>
  </si>
  <si>
    <t>SUMMARY TABLE</t>
  </si>
  <si>
    <t xml:space="preserve">SUMMARY TABLE FOR LOGISTIC REGRESSION </t>
  </si>
  <si>
    <t>CONFUSION MATRIX</t>
  </si>
  <si>
    <t>ACTUAL=PREDICTED?</t>
  </si>
  <si>
    <t>Regression Coefficients</t>
  </si>
  <si>
    <t>Actual cases of Heart Disease</t>
  </si>
  <si>
    <t>PREDICTED  HEART DISEASE</t>
  </si>
  <si>
    <t>PREDICTED NO DISEASE</t>
  </si>
  <si>
    <t>PREDICTED HEART DISEASE</t>
  </si>
  <si>
    <t>Total patients</t>
  </si>
  <si>
    <t>20-29</t>
  </si>
  <si>
    <t>30-39</t>
  </si>
  <si>
    <t>40-49</t>
  </si>
  <si>
    <t>50-59</t>
  </si>
  <si>
    <t>60-70</t>
  </si>
  <si>
    <t>Age Groups</t>
  </si>
  <si>
    <t>Count of Disease(Actual)</t>
  </si>
  <si>
    <t>100-109</t>
  </si>
  <si>
    <t>110-119</t>
  </si>
  <si>
    <t>120-129</t>
  </si>
  <si>
    <t>130-139</t>
  </si>
  <si>
    <t>140-149</t>
  </si>
  <si>
    <t>150-160</t>
  </si>
  <si>
    <t>SYSTOLIC BP(mm Hg)</t>
  </si>
  <si>
    <t>65-74</t>
  </si>
  <si>
    <t>75-84</t>
  </si>
  <si>
    <t>85-94</t>
  </si>
  <si>
    <t>95-105</t>
  </si>
  <si>
    <t>DIASTOLIC BP(mm Hg)</t>
  </si>
  <si>
    <t>18-23</t>
  </si>
  <si>
    <t>23-28</t>
  </si>
  <si>
    <t>28-33</t>
  </si>
  <si>
    <t>33-38</t>
  </si>
  <si>
    <t>DIABETES</t>
  </si>
  <si>
    <t>SMOKING HABIT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</si>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</sst>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2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4" fillId="5" borderId="16" xfId="0" applyFont="1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0" xfId="0" applyFill="1" applyAlignment="1">
      <alignment horizontal="left"/>
    </xf>
    <xf numFmtId="0" fontId="0" fillId="5" borderId="0" xfId="0" applyFill="1"/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 applyAlignment="1">
      <alignment horizontal="left"/>
    </xf>
    <xf numFmtId="0" fontId="0" fillId="5" borderId="22" xfId="0" applyFill="1" applyBorder="1"/>
    <xf numFmtId="0" fontId="0" fillId="5" borderId="23" xfId="0" applyFill="1" applyBorder="1"/>
    <xf numFmtId="0" fontId="4" fillId="9" borderId="4" xfId="0" applyFont="1" applyFill="1" applyBorder="1"/>
    <xf numFmtId="0" fontId="4" fillId="9" borderId="1" xfId="0" applyFont="1" applyFill="1" applyBorder="1"/>
    <xf numFmtId="0" fontId="0" fillId="9" borderId="1" xfId="0" applyFill="1" applyBorder="1"/>
    <xf numFmtId="0" fontId="0" fillId="9" borderId="5" xfId="0" applyFill="1" applyBorder="1"/>
    <xf numFmtId="0" fontId="6" fillId="0" borderId="6" xfId="0" applyFont="1" applyBorder="1"/>
    <xf numFmtId="0" fontId="0" fillId="7" borderId="0" xfId="0" applyFill="1" applyAlignment="1">
      <alignment horizontal="center"/>
    </xf>
    <xf numFmtId="0" fontId="5" fillId="8" borderId="4" xfId="0" applyFont="1" applyFill="1" applyBorder="1"/>
    <xf numFmtId="0" fontId="0" fillId="8" borderId="1" xfId="0" applyFill="1" applyBorder="1"/>
    <xf numFmtId="0" fontId="0" fillId="8" borderId="5" xfId="0" applyFill="1" applyBorder="1"/>
    <xf numFmtId="0" fontId="7" fillId="10" borderId="4" xfId="0" applyFont="1" applyFill="1" applyBorder="1"/>
    <xf numFmtId="0" fontId="7" fillId="10" borderId="1" xfId="0" applyFont="1" applyFill="1" applyBorder="1"/>
    <xf numFmtId="0" fontId="0" fillId="10" borderId="1" xfId="0" applyFill="1" applyBorder="1"/>
    <xf numFmtId="0" fontId="0" fillId="10" borderId="5" xfId="0" applyFill="1" applyBorder="1"/>
    <xf numFmtId="0" fontId="0" fillId="0" borderId="24" xfId="0" applyBorder="1"/>
    <xf numFmtId="0" fontId="0" fillId="0" borderId="26" xfId="0" applyBorder="1"/>
    <xf numFmtId="0" fontId="4" fillId="0" borderId="0" xfId="0" applyFont="1"/>
    <xf numFmtId="0" fontId="9" fillId="11" borderId="1" xfId="0" applyFont="1" applyFill="1" applyBorder="1"/>
    <xf numFmtId="0" fontId="8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9" borderId="30" xfId="0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9" fontId="8" fillId="0" borderId="7" xfId="2" applyFont="1" applyBorder="1" applyAlignment="1">
      <alignment horizontal="center"/>
    </xf>
    <xf numFmtId="0" fontId="3" fillId="4" borderId="1" xfId="0" applyFont="1" applyFill="1" applyBorder="1"/>
    <xf numFmtId="0" fontId="3" fillId="0" borderId="5" xfId="0" applyFont="1" applyBorder="1"/>
    <xf numFmtId="0" fontId="13" fillId="0" borderId="0" xfId="0" applyFont="1"/>
    <xf numFmtId="0" fontId="13" fillId="0" borderId="7" xfId="0" applyFont="1" applyBorder="1"/>
    <xf numFmtId="0" fontId="13" fillId="0" borderId="2" xfId="0" applyFont="1" applyBorder="1"/>
    <xf numFmtId="0" fontId="13" fillId="4" borderId="11" xfId="0" applyFont="1" applyFill="1" applyBorder="1"/>
    <xf numFmtId="0" fontId="8" fillId="0" borderId="2" xfId="0" applyFont="1" applyBorder="1" applyAlignment="1">
      <alignment wrapText="1"/>
    </xf>
    <xf numFmtId="0" fontId="5" fillId="4" borderId="3" xfId="0" applyFont="1" applyFill="1" applyBorder="1"/>
    <xf numFmtId="0" fontId="5" fillId="0" borderId="31" xfId="0" applyFont="1" applyBorder="1"/>
    <xf numFmtId="0" fontId="5" fillId="0" borderId="30" xfId="0" applyFont="1" applyBorder="1"/>
    <xf numFmtId="0" fontId="8" fillId="0" borderId="7" xfId="0" applyFont="1" applyBorder="1"/>
    <xf numFmtId="0" fontId="5" fillId="4" borderId="29" xfId="0" applyFont="1" applyFill="1" applyBorder="1"/>
    <xf numFmtId="0" fontId="8" fillId="4" borderId="11" xfId="0" applyFont="1" applyFill="1" applyBorder="1"/>
    <xf numFmtId="0" fontId="1" fillId="0" borderId="25" xfId="0" applyFont="1" applyBorder="1"/>
    <xf numFmtId="0" fontId="5" fillId="0" borderId="6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11" borderId="5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9" fontId="8" fillId="0" borderId="11" xfId="2" applyFont="1" applyBorder="1" applyAlignment="1">
      <alignment horizontal="center"/>
    </xf>
    <xf numFmtId="0" fontId="4" fillId="4" borderId="24" xfId="0" applyFont="1" applyFill="1" applyBorder="1"/>
    <xf numFmtId="0" fontId="8" fillId="4" borderId="24" xfId="0" applyFont="1" applyFill="1" applyBorder="1"/>
    <xf numFmtId="0" fontId="5" fillId="0" borderId="24" xfId="0" applyFont="1" applyBorder="1"/>
    <xf numFmtId="0" fontId="8" fillId="0" borderId="24" xfId="0" applyFont="1" applyBorder="1"/>
    <xf numFmtId="0" fontId="9" fillId="4" borderId="10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6" fillId="12" borderId="4" xfId="0" applyFont="1" applyFill="1" applyBorder="1"/>
    <xf numFmtId="0" fontId="16" fillId="4" borderId="4" xfId="0" applyFont="1" applyFill="1" applyBorder="1"/>
    <xf numFmtId="0" fontId="0" fillId="4" borderId="1" xfId="0" applyFill="1" applyBorder="1"/>
    <xf numFmtId="0" fontId="0" fillId="4" borderId="5" xfId="0" applyFill="1" applyBorder="1"/>
    <xf numFmtId="0" fontId="1" fillId="0" borderId="6" xfId="0" applyFont="1" applyBorder="1"/>
    <xf numFmtId="0" fontId="0" fillId="0" borderId="7" xfId="0" applyBorder="1" applyAlignment="1">
      <alignment horizontal="center"/>
    </xf>
    <xf numFmtId="0" fontId="1" fillId="0" borderId="9" xfId="0" applyFont="1" applyBorder="1"/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11" borderId="33" xfId="0" applyFont="1" applyFill="1" applyBorder="1"/>
    <xf numFmtId="0" fontId="5" fillId="0" borderId="29" xfId="0" applyFont="1" applyBorder="1"/>
    <xf numFmtId="0" fontId="10" fillId="11" borderId="33" xfId="0" applyFont="1" applyFill="1" applyBorder="1" applyAlignment="1">
      <alignment wrapText="1"/>
    </xf>
    <xf numFmtId="0" fontId="4" fillId="0" borderId="30" xfId="0" applyFont="1" applyBorder="1"/>
    <xf numFmtId="0" fontId="4" fillId="0" borderId="29" xfId="0" applyFont="1" applyBorder="1"/>
    <xf numFmtId="0" fontId="15" fillId="11" borderId="33" xfId="0" applyFont="1" applyFill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9" fillId="4" borderId="34" xfId="0" applyFont="1" applyFill="1" applyBorder="1" applyAlignment="1">
      <alignment horizontal="center"/>
    </xf>
    <xf numFmtId="0" fontId="16" fillId="4" borderId="30" xfId="0" applyFont="1" applyFill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5" fillId="6" borderId="4" xfId="0" applyFont="1" applyFill="1" applyBorder="1"/>
    <xf numFmtId="0" fontId="5" fillId="6" borderId="1" xfId="0" applyFont="1" applyFill="1" applyBorder="1"/>
    <xf numFmtId="0" fontId="5" fillId="6" borderId="5" xfId="0" applyFont="1" applyFill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7" fillId="2" borderId="13" xfId="0" applyFont="1" applyFill="1" applyBorder="1" applyAlignment="1">
      <alignment horizontal="center"/>
    </xf>
    <xf numFmtId="0" fontId="17" fillId="2" borderId="14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11" borderId="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9" fontId="13" fillId="0" borderId="0" xfId="2" applyFont="1" applyBorder="1" applyAlignment="1">
      <alignment horizontal="center"/>
    </xf>
    <xf numFmtId="9" fontId="13" fillId="0" borderId="7" xfId="2" applyFont="1" applyBorder="1" applyAlignment="1">
      <alignment horizontal="center"/>
    </xf>
    <xf numFmtId="9" fontId="11" fillId="0" borderId="2" xfId="2" applyFont="1" applyBorder="1" applyAlignment="1">
      <alignment horizontal="center"/>
    </xf>
    <xf numFmtId="9" fontId="11" fillId="0" borderId="11" xfId="2" applyFont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12" borderId="27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6" fillId="11" borderId="5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6" fillId="11" borderId="1" xfId="0" applyFont="1" applyFill="1" applyBorder="1"/>
    <xf numFmtId="0" fontId="13" fillId="0" borderId="2" xfId="0" applyFont="1" applyBorder="1" applyAlignment="1">
      <alignment horizontal="center"/>
    </xf>
    <xf numFmtId="0" fontId="0" fillId="0" borderId="4" xfId="0" pivotButton="1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7" xfId="0" applyNumberFormat="1" applyBorder="1"/>
    <xf numFmtId="0" fontId="0" fillId="0" borderId="11" xfId="0" applyNumberFormat="1" applyBorder="1"/>
  </cellXfs>
  <cellStyles count="3">
    <cellStyle name="Normal" xfId="0" builtinId="0"/>
    <cellStyle name="Normal 2" xfId="1" xr:uid="{8C2EAA5E-A298-4E0F-9867-E24705D33A4A}"/>
    <cellStyle name="Percent" xfId="2" builtinId="5"/>
  </cellStyles>
  <dxfs count="3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[PREDICTIVE_MODEL_HEART_DISEASE.xlsx]ACTUAL_DATASET!PivotTable1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ACTUAL_DATASET!$L$10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C0-440B-84F4-11408115260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C0-440B-84F4-1140811526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C0-440B-84F4-1140811526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C0-440B-84F4-11408115260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C0-440B-84F4-1140811526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ACTUAL_DATASET!$K$11:$K$15</c:f>
              <c:strCache>
                <c:ptCount val="5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60-70</c:v>
                </c:pt>
              </c:strCache>
            </c:strRef>
          </c:cat>
          <c:val>
            <c:numRef>
              <c:f>ACTUAL_DATASET!$L$11:$L$15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15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2-4CB6-9030-AD24030372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687127023"/>
        <c:axId val="1692192607"/>
      </c:barChart>
      <c:catAx>
        <c:axId val="168712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192607"/>
        <c:crosses val="autoZero"/>
        <c:auto val="1"/>
        <c:lblAlgn val="ctr"/>
        <c:lblOffset val="100"/>
        <c:noMultiLvlLbl val="0"/>
      </c:catAx>
      <c:valAx>
        <c:axId val="169219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2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[PREDICTIVE_MODEL_HEART_DISEASE.xlsx]ACTUAL_DATASET!PivotTable2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INFLUENCE</a:t>
            </a:r>
            <a:r>
              <a:rPr lang="en-IN" b="1" baseline="0"/>
              <a:t> OF SYSTOLIC BP ON HEART DISEASE INCIDENCE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ACTUAL_DATASET!$L$26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1F-444B-897B-693ADB2BCA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1F-444B-897B-693ADB2BCA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1F-444B-897B-693ADB2BCA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1F-444B-897B-693ADB2BCA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1F-444B-897B-693ADB2BCA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1F-444B-897B-693ADB2BCA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ACTUAL_DATASET!$K$27:$K$32</c:f>
              <c:strCache>
                <c:ptCount val="6"/>
                <c:pt idx="0">
                  <c:v>100-109</c:v>
                </c:pt>
                <c:pt idx="1">
                  <c:v>110-119</c:v>
                </c:pt>
                <c:pt idx="2">
                  <c:v>120-129</c:v>
                </c:pt>
                <c:pt idx="3">
                  <c:v>130-139</c:v>
                </c:pt>
                <c:pt idx="4">
                  <c:v>140-149</c:v>
                </c:pt>
                <c:pt idx="5">
                  <c:v>150-160</c:v>
                </c:pt>
              </c:strCache>
            </c:strRef>
          </c:cat>
          <c:val>
            <c:numRef>
              <c:f>ACTUAL_DATASET!$L$27:$L$32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13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8-49D0-810C-47B007A0FF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38339727"/>
        <c:axId val="1692181567"/>
      </c:barChart>
      <c:catAx>
        <c:axId val="173833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181567"/>
        <c:crosses val="autoZero"/>
        <c:auto val="1"/>
        <c:lblAlgn val="ctr"/>
        <c:lblOffset val="100"/>
        <c:noMultiLvlLbl val="0"/>
      </c:catAx>
      <c:valAx>
        <c:axId val="1692181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833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[PREDICTIVE_MODEL_HEART_DISEASE.xlsx]ACTUAL_DATASET!PivotTable3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INFLUENCE</a:t>
            </a:r>
            <a:r>
              <a:rPr lang="en-US" b="1" baseline="0"/>
              <a:t> OF DIASTOLIC BP ON HEART DISEASE INCIDENCE</a:t>
            </a:r>
            <a:endParaRPr lang="en-US" b="1"/>
          </a:p>
        </c:rich>
      </c:tx>
      <c:overlay val="0"/>
      <c:spPr>
        <a:noFill/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ACTUAL_DATASET!$L$42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6B-4177-B895-F5B70A78D59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6B-4177-B895-F5B70A78D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6B-4177-B895-F5B70A78D59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6B-4177-B895-F5B70A78D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ACTUAL_DATASET!$K$43:$K$46</c:f>
              <c:strCache>
                <c:ptCount val="4"/>
                <c:pt idx="0">
                  <c:v>65-74</c:v>
                </c:pt>
                <c:pt idx="1">
                  <c:v>75-84</c:v>
                </c:pt>
                <c:pt idx="2">
                  <c:v>85-94</c:v>
                </c:pt>
                <c:pt idx="3">
                  <c:v>95-105</c:v>
                </c:pt>
              </c:strCache>
            </c:strRef>
          </c:cat>
          <c:val>
            <c:numRef>
              <c:f>ACTUAL_DATASET!$L$43:$L$46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13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B-4C96-BBEA-21067F7308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64868943"/>
        <c:axId val="1692221407"/>
      </c:barChart>
      <c:catAx>
        <c:axId val="176486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21407"/>
        <c:crosses val="autoZero"/>
        <c:auto val="1"/>
        <c:lblAlgn val="ctr"/>
        <c:lblOffset val="100"/>
        <c:noMultiLvlLbl val="0"/>
      </c:catAx>
      <c:valAx>
        <c:axId val="16922214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486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[PREDICTIVE_MODEL_HEART_DISEASE.xlsx]ACTUAL_DATASET!PivotTable4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INFKUENCE</a:t>
            </a:r>
            <a:r>
              <a:rPr lang="en-IN" b="1" baseline="0"/>
              <a:t> OF BMI ON HEART DISEASE INCIDENCE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ACTUAL_DATASET!$L$60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ACTUAL_DATASET!$K$61:$K$64</c:f>
              <c:strCache>
                <c:ptCount val="4"/>
                <c:pt idx="0">
                  <c:v>18-23</c:v>
                </c:pt>
                <c:pt idx="1">
                  <c:v>23-28</c:v>
                </c:pt>
                <c:pt idx="2">
                  <c:v>28-33</c:v>
                </c:pt>
                <c:pt idx="3">
                  <c:v>33-38</c:v>
                </c:pt>
              </c:strCache>
            </c:strRef>
          </c:cat>
          <c:val>
            <c:numRef>
              <c:f>ACTUAL_DATASET!$L$61:$L$64</c:f>
              <c:numCache>
                <c:formatCode>General</c:formatCode>
                <c:ptCount val="4"/>
                <c:pt idx="0">
                  <c:v>5</c:v>
                </c:pt>
                <c:pt idx="1">
                  <c:v>15</c:v>
                </c:pt>
                <c:pt idx="2">
                  <c:v>11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E-447E-999B-82F8FCCE91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818364272"/>
        <c:axId val="647913600"/>
      </c:barChart>
      <c:catAx>
        <c:axId val="8183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13600"/>
        <c:crosses val="autoZero"/>
        <c:auto val="1"/>
        <c:lblAlgn val="ctr"/>
        <c:lblOffset val="100"/>
        <c:noMultiLvlLbl val="0"/>
      </c:catAx>
      <c:valAx>
        <c:axId val="64791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6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[PREDICTIVE_MODEL_HEART_DISEASE.xlsx]ACTUAL_DATASET!PivotTable5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HEART</a:t>
            </a:r>
            <a:r>
              <a:rPr lang="en-IN" b="1" baseline="0"/>
              <a:t> DISEASE PATIENTS WITH DIABETES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ACTUAL_DATASET!$L$78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ACTUAL_DATASET!$K$79:$K$80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ACTUAL_DATASET!$L$79:$L$80</c:f>
              <c:numCache>
                <c:formatCode>General</c:formatCode>
                <c:ptCount val="2"/>
                <c:pt idx="0">
                  <c:v>17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D-4211-BD4D-DA5698665C0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98444319238472"/>
          <c:y val="0.38387093280969126"/>
          <c:w val="0.16953639132598103"/>
          <c:h val="0.38752535789830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[PREDICTIVE_MODEL_HEART_DISEASE.xlsx]ACTUAL_DATASET!PivotTable6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HEART</a:t>
            </a:r>
            <a:r>
              <a:rPr lang="en-IN" b="1" baseline="0"/>
              <a:t> DISEASE PATIENTS WITH SMOKING HABIT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ACTUAL_DATASET!$L$94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ACTUAL_DATASET!$K$95:$K$96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ACTUAL_DATASET!$L$95:$L$96</c:f>
              <c:numCache>
                <c:formatCode>General</c:formatCode>
                <c:ptCount val="2"/>
                <c:pt idx="0">
                  <c:v>19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4-4158-B893-EB072C13973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66653545141523"/>
          <c:y val="0.40757548912080543"/>
          <c:w val="0.13274297181657072"/>
          <c:h val="0.3222967055702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PREDICTION</a:t>
            </a:r>
            <a:r>
              <a:rPr lang="en-IN" sz="1800" b="1" baseline="0"/>
              <a:t> RESULTS FOR LOGISTIC REGRESSION MODEL</a:t>
            </a:r>
            <a:endParaRPr lang="en-IN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B2-4038-B1ED-0997569118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B2-4038-B1ED-099756911849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'LOGISTIC_REGRESSION&amp;EVALUATION'!$L$3:$L$4</c:f>
              <c:strCache>
                <c:ptCount val="2"/>
                <c:pt idx="0">
                  <c:v>PREDICTED  HEART DISEASE</c:v>
                </c:pt>
                <c:pt idx="1">
                  <c:v>PREDICTED NO DISEASE</c:v>
                </c:pt>
              </c:strCache>
            </c:strRef>
          </c:cat>
          <c:val>
            <c:numRef>
              <c:f>'LOGISTIC_REGRESSION&amp;EVALUATION'!$M$3:$M$4</c:f>
              <c:numCache>
                <c:formatCode>General</c:formatCode>
                <c:ptCount val="2"/>
                <c:pt idx="0">
                  <c:v>4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B2-4038-B1ED-0997569118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PREDICTION</a:t>
            </a:r>
            <a:r>
              <a:rPr lang="en-IN" baseline="0"/>
              <a:t> RESULTS FOR DECISION TREE MODEL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98-4675-98B3-CAFDE7B81D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98-4675-98B3-CAFDE7B81D0C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DECISION_TREE!$M$16:$M$17</c:f>
              <c:strCache>
                <c:ptCount val="2"/>
                <c:pt idx="0">
                  <c:v>PREDICTED HEART DISEASE</c:v>
                </c:pt>
                <c:pt idx="1">
                  <c:v>PREDICTED NO DISEASE</c:v>
                </c:pt>
              </c:strCache>
            </c:strRef>
          </c:cat>
          <c:val>
            <c:numRef>
              <c:f>DECISION_TREE!$N$16:$N$17</c:f>
              <c:numCache>
                <c:formatCode>General</c:formatCode>
                <c:ptCount val="2"/>
                <c:pt idx="0">
                  <c:v>22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98-4675-98B3-CAFDE7B81D0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0F98-4675-98B3-CAFDE7B81D0C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0F98-4675-98B3-CAFDE7B81D0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2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DECISION_TREE!$M$16:$M$17</c15:sqref>
                        </c15:formulaRef>
                      </c:ext>
                    </c:extLst>
                    <c:strCache>
                      <c:ptCount val="2"/>
                      <c:pt idx="0">
                        <c:v>PREDICTED HEART DISEASE</c:v>
                      </c:pt>
                      <c:pt idx="1">
                        <c:v>PREDICTED NO DISEASE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DECISION_TREE!$O$16:$O$17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0F98-4675-98B3-CAFDE7B81D0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49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FEATURES IMPACTING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895419070283748E-2"/>
          <c:y val="0.12531833108041157"/>
          <c:w val="0.78673323273955231"/>
          <c:h val="0.70937473834236386"/>
        </c:manualLayout>
      </c:layout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DD-40DA-883A-E22C3DFF4C7A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DD-40DA-883A-E22C3DFF4C7A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DD-40DA-883A-E22C3DFF4C7A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FDD-40DA-883A-E22C3DFF4C7A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accent5"/>
                  </a:gs>
                  <a:gs pos="75000">
                    <a:schemeClr val="accent5">
                      <a:lumMod val="60000"/>
                      <a:lumOff val="40000"/>
                    </a:schemeClr>
                  </a:gs>
                  <a:gs pos="51000">
                    <a:schemeClr val="accent5">
                      <a:alpha val="75000"/>
                    </a:schemeClr>
                  </a:gs>
                  <a:gs pos="100000">
                    <a:schemeClr val="accent5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FDD-40DA-883A-E22C3DFF4C7A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accent6"/>
                  </a:gs>
                  <a:gs pos="75000">
                    <a:schemeClr val="accent6">
                      <a:lumMod val="60000"/>
                      <a:lumOff val="40000"/>
                    </a:schemeClr>
                  </a:gs>
                  <a:gs pos="51000">
                    <a:schemeClr val="accent6">
                      <a:alpha val="75000"/>
                    </a:schemeClr>
                  </a:gs>
                  <a:gs pos="100000">
                    <a:schemeClr val="accent6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FDD-40DA-883A-E22C3DFF4C7A}"/>
              </c:ext>
            </c:extLst>
          </c:dPt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'LOGISTIC_REGRESSION&amp;EVALUATION'!$A$19:$A$24</c:f>
              <c:strCache>
                <c:ptCount val="6"/>
                <c:pt idx="0">
                  <c:v>Age</c:v>
                </c:pt>
                <c:pt idx="1">
                  <c:v>Systolic BP</c:v>
                </c:pt>
                <c:pt idx="2">
                  <c:v>Diastolic BP</c:v>
                </c:pt>
                <c:pt idx="3">
                  <c:v>Diabetes</c:v>
                </c:pt>
                <c:pt idx="4">
                  <c:v>BMI</c:v>
                </c:pt>
                <c:pt idx="5">
                  <c:v>Smoking</c:v>
                </c:pt>
              </c:strCache>
            </c:strRef>
          </c:cat>
          <c:val>
            <c:numRef>
              <c:f>'LOGISTIC_REGRESSION&amp;EVALUATION'!$B$19:$B$24</c:f>
              <c:numCache>
                <c:formatCode>General</c:formatCode>
                <c:ptCount val="6"/>
                <c:pt idx="0">
                  <c:v>2.0666990208500453E-2</c:v>
                </c:pt>
                <c:pt idx="1">
                  <c:v>4.9901398034268522E-3</c:v>
                </c:pt>
                <c:pt idx="2">
                  <c:v>6.6079908413592793E-3</c:v>
                </c:pt>
                <c:pt idx="3">
                  <c:v>-5.8185521378170041E-2</c:v>
                </c:pt>
                <c:pt idx="4">
                  <c:v>1.9022687352466861E-2</c:v>
                </c:pt>
                <c:pt idx="5">
                  <c:v>0.2015369864278436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FDD-40DA-883A-E22C3DFF4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156037135"/>
        <c:axId val="1025796767"/>
      </c:barChart>
      <c:catAx>
        <c:axId val="115603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796767"/>
        <c:crosses val="autoZero"/>
        <c:auto val="1"/>
        <c:lblAlgn val="ctr"/>
        <c:lblOffset val="100"/>
        <c:noMultiLvlLbl val="0"/>
      </c:catAx>
      <c:valAx>
        <c:axId val="10257967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3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LOGISTIC REGRESSION MODEL PERFORMANCE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rgbClr val="44546A"/>
              </a:solidFill>
              <a:latin typeface="Calibri" panose="020F0502020204030204"/>
            </a:rPr>
            <a:t>LOGISTIC REGRESSION MODEL PERFORMANCE</a:t>
          </a:r>
        </a:p>
      </cx:txPr>
    </cx:title>
    <cx:plotArea>
      <cx:plotAreaRegion>
        <cx:series layoutId="treemap" uniqueId="{00000000-46E0-44E5-AA6A-78C752471AE5}">
          <cx:tx>
            <cx:txData>
              <cx:f>_xlchart.v1.1</cx:f>
              <cx:v>PERCENTAGE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400" b="1">
                    <a:solidFill>
                      <a:schemeClr val="tx1"/>
                    </a:solidFill>
                  </a:defRPr>
                </a:pPr>
                <a:endParaRPr lang="en-US" sz="24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24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100%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endParaRPr lang="en-US" sz="1600" b="0" i="0" u="none" strike="noStrike" baseline="0">
            <a:solidFill>
              <a:srgbClr val="44546A"/>
            </a:solidFill>
            <a:latin typeface="Calibri" panose="020F0502020204030204"/>
          </a:endParaRPr>
        </a:p>
      </cx:txPr>
    </cx:legend>
  </cx:chart>
  <cx:spPr>
    <a:ln w="38100"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  <cx:data id="1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6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DECISION TREE MODEL PERFORMANCE </a:t>
            </a:r>
            <a:endParaRPr lang="en-IN" sz="1600" b="1"/>
          </a:p>
        </cx:rich>
      </cx:tx>
    </cx:title>
    <cx:plotArea>
      <cx:plotAreaRegion>
        <cx:series layoutId="treemap" uniqueId="{FEBB6B60-0898-4F5E-8F41-8416D90D358B}" formatIdx="0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800" b="1"/>
                </a:pPr>
                <a:endParaRPr lang="en-US" sz="2800" b="1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parentLabelLayout val="overlapping"/>
          </cx:layoutPr>
        </cx:series>
        <cx:series layoutId="treemap" hidden="1" uniqueId="{77D78853-CA8F-45AA-B886-971554466361}" formatIdx="1"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endParaRPr lang="en-US" sz="1600" b="0" i="0" u="none" strike="noStrike" kern="1200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 w="22225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7">
  <cs:axisTitle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7">
  <cs:axisTitle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microsoft.com/office/2014/relationships/chartEx" Target="../charts/chartEx1.xml"/><Relationship Id="rId1" Type="http://schemas.openxmlformats.org/officeDocument/2006/relationships/chart" Target="../charts/chart7.xml"/><Relationship Id="rId5" Type="http://schemas.openxmlformats.org/officeDocument/2006/relationships/chart" Target="../charts/chart9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62630</xdr:colOff>
      <xdr:row>7</xdr:row>
      <xdr:rowOff>41754</xdr:rowOff>
    </xdr:from>
    <xdr:to>
      <xdr:col>17</xdr:col>
      <xdr:colOff>1638821</xdr:colOff>
      <xdr:row>22</xdr:row>
      <xdr:rowOff>118997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8EE66E-1BD7-B9D1-C057-AD64AFBE1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10437</xdr:colOff>
      <xdr:row>24</xdr:row>
      <xdr:rowOff>16701</xdr:rowOff>
    </xdr:from>
    <xdr:to>
      <xdr:col>17</xdr:col>
      <xdr:colOff>1628382</xdr:colOff>
      <xdr:row>39</xdr:row>
      <xdr:rowOff>114821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5E92D-CC71-17D0-5D1F-DA16B15A6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40</xdr:row>
      <xdr:rowOff>173276</xdr:rowOff>
    </xdr:from>
    <xdr:to>
      <xdr:col>17</xdr:col>
      <xdr:colOff>1607507</xdr:colOff>
      <xdr:row>55</xdr:row>
      <xdr:rowOff>167013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64C3DA-AC76-6A08-D569-B14428F4A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</xdr:colOff>
      <xdr:row>57</xdr:row>
      <xdr:rowOff>173276</xdr:rowOff>
    </xdr:from>
    <xdr:to>
      <xdr:col>17</xdr:col>
      <xdr:colOff>1659699</xdr:colOff>
      <xdr:row>73</xdr:row>
      <xdr:rowOff>156574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F05D1B-2E8A-2148-8631-B8606A192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31315</xdr:colOff>
      <xdr:row>76</xdr:row>
      <xdr:rowOff>58454</xdr:rowOff>
    </xdr:from>
    <xdr:to>
      <xdr:col>17</xdr:col>
      <xdr:colOff>1711890</xdr:colOff>
      <xdr:row>91</xdr:row>
      <xdr:rowOff>10438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FFC5BD-900F-24C1-E173-9AFA2E583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52192</xdr:colOff>
      <xdr:row>91</xdr:row>
      <xdr:rowOff>141961</xdr:rowOff>
    </xdr:from>
    <xdr:to>
      <xdr:col>17</xdr:col>
      <xdr:colOff>1701452</xdr:colOff>
      <xdr:row>106</xdr:row>
      <xdr:rowOff>83506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C8AF7F-B500-F530-A296-9EF495D6F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2</xdr:row>
      <xdr:rowOff>1</xdr:rowOff>
    </xdr:from>
    <xdr:to>
      <xdr:col>8</xdr:col>
      <xdr:colOff>175260</xdr:colOff>
      <xdr:row>20</xdr:row>
      <xdr:rowOff>160021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20932F-6888-47A8-B54D-479FA1712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7621</xdr:colOff>
      <xdr:row>1</xdr:row>
      <xdr:rowOff>175260</xdr:rowOff>
    </xdr:from>
    <xdr:to>
      <xdr:col>17</xdr:col>
      <xdr:colOff>403860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1DFF82B-0754-4A55-BC17-C70E8112AA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3621" y="358140"/>
              <a:ext cx="4663439" cy="3482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579120</xdr:colOff>
      <xdr:row>24</xdr:row>
      <xdr:rowOff>38100</xdr:rowOff>
    </xdr:from>
    <xdr:to>
      <xdr:col>8</xdr:col>
      <xdr:colOff>342900</xdr:colOff>
      <xdr:row>43</xdr:row>
      <xdr:rowOff>84949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90ED18-4A34-4739-8B94-C15D91AD6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17</xdr:col>
      <xdr:colOff>236220</xdr:colOff>
      <xdr:row>43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490DE2A-BC91-4FD3-8CFC-070AC815DCE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0" y="4389120"/>
              <a:ext cx="4503420" cy="3528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</xdr:row>
      <xdr:rowOff>0</xdr:rowOff>
    </xdr:from>
    <xdr:to>
      <xdr:col>30</xdr:col>
      <xdr:colOff>247450</xdr:colOff>
      <xdr:row>19</xdr:row>
      <xdr:rowOff>19627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9DFED4-8627-4014-AD5C-DCD31B1CF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C" refreshedDate="46274.745573148146" createdVersion="8" refreshedVersion="8" minRefreshableVersion="3" recordCount="32" xr:uid="{5340D4A3-091D-4A55-BCB4-77BAA66CBD53}">
  <cacheSource type="worksheet">
    <worksheetSource ref="B1:H33" sheet="ACTUAL_DATASET"/>
  </cacheSource>
  <cacheFields count="7">
    <cacheField name="Age" numFmtId="0">
      <sharedItems containsSemiMixedTypes="0" containsString="0" containsNumber="1" containsInteger="1" minValue="24" maxValue="64" count="20">
        <n v="45"/>
        <n v="60"/>
        <n v="35"/>
        <n v="50"/>
        <n v="28"/>
        <n v="53"/>
        <n v="51"/>
        <n v="39"/>
        <n v="34"/>
        <n v="54"/>
        <n v="58"/>
        <n v="47"/>
        <n v="38"/>
        <n v="64"/>
        <n v="24"/>
        <n v="61"/>
        <n v="37"/>
        <n v="29"/>
        <n v="43"/>
        <n v="63"/>
      </sharedItems>
      <fieldGroup base="0">
        <rangePr autoStart="0" autoEnd="0" startNum="20" endNum="70" groupInterval="10"/>
        <groupItems count="7">
          <s v="&lt;20"/>
          <s v="20-29"/>
          <s v="30-39"/>
          <s v="40-49"/>
          <s v="50-59"/>
          <s v="60-70"/>
          <s v="&gt;70"/>
        </groupItems>
      </fieldGroup>
    </cacheField>
    <cacheField name="Systolic BP" numFmtId="0">
      <sharedItems containsSemiMixedTypes="0" containsString="0" containsNumber="1" containsInteger="1" minValue="107" maxValue="159"/>
    </cacheField>
    <cacheField name="Diastolic BP" numFmtId="0">
      <sharedItems containsSemiMixedTypes="0" containsString="0" containsNumber="1" containsInteger="1" minValue="69" maxValue="103"/>
    </cacheField>
    <cacheField name="Diabetes" numFmtId="0">
      <sharedItems/>
    </cacheField>
    <cacheField name="BMI" numFmtId="0">
      <sharedItems containsSemiMixedTypes="0" containsString="0" containsNumber="1" minValue="18.399999999999999" maxValue="33.299999999999997"/>
    </cacheField>
    <cacheField name="Smoking" numFmtId="0">
      <sharedItems/>
    </cacheField>
    <cacheField name="Disease(Actual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C" refreshedDate="46274.748996064816" createdVersion="8" refreshedVersion="8" minRefreshableVersion="3" recordCount="32" xr:uid="{458634B7-FF29-4292-A97B-93F2A0B0973C}">
  <cacheSource type="worksheet">
    <worksheetSource ref="C1:H33" sheet="ACTUAL_DATASET"/>
  </cacheSource>
  <cacheFields count="6">
    <cacheField name="Systolic BP" numFmtId="0">
      <sharedItems containsSemiMixedTypes="0" containsString="0" containsNumber="1" containsInteger="1" minValue="107" maxValue="159" count="22">
        <n v="130"/>
        <n v="150"/>
        <n v="120"/>
        <n v="140"/>
        <n v="110"/>
        <n v="125"/>
        <n v="114"/>
        <n v="153"/>
        <n v="123"/>
        <n v="118"/>
        <n v="135"/>
        <n v="129"/>
        <n v="126"/>
        <n v="124"/>
        <n v="141"/>
        <n v="133"/>
        <n v="127"/>
        <n v="142"/>
        <n v="158"/>
        <n v="107"/>
        <n v="139"/>
        <n v="159"/>
      </sharedItems>
      <fieldGroup base="0">
        <rangePr autoStart="0" autoEnd="0" startNum="100" endNum="160" groupInterval="10"/>
        <groupItems count="8">
          <s v="&lt;100"/>
          <s v="100-109"/>
          <s v="110-119"/>
          <s v="120-129"/>
          <s v="130-139"/>
          <s v="140-149"/>
          <s v="150-160"/>
          <s v="&gt;160"/>
        </groupItems>
      </fieldGroup>
    </cacheField>
    <cacheField name="Diastolic BP" numFmtId="0">
      <sharedItems containsSemiMixedTypes="0" containsString="0" containsNumber="1" containsInteger="1" minValue="69" maxValue="103"/>
    </cacheField>
    <cacheField name="Diabetes" numFmtId="0">
      <sharedItems/>
    </cacheField>
    <cacheField name="BMI" numFmtId="0">
      <sharedItems containsSemiMixedTypes="0" containsString="0" containsNumber="1" minValue="18.399999999999999" maxValue="33.299999999999997"/>
    </cacheField>
    <cacheField name="Smoking" numFmtId="0">
      <sharedItems/>
    </cacheField>
    <cacheField name="Disease(Actual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C" refreshedDate="46274.752473842593" createdVersion="8" refreshedVersion="8" minRefreshableVersion="3" recordCount="32" xr:uid="{FAE2E8B1-9F3D-46D9-80D9-8A36AD03EE6B}">
  <cacheSource type="worksheet">
    <worksheetSource ref="D1:H33" sheet="ACTUAL_DATASET"/>
  </cacheSource>
  <cacheFields count="5">
    <cacheField name="Diastolic BP" numFmtId="0">
      <sharedItems containsSemiMixedTypes="0" containsString="0" containsNumber="1" containsInteger="1" minValue="69" maxValue="103" count="20">
        <n v="85"/>
        <n v="95"/>
        <n v="80"/>
        <n v="90"/>
        <n v="70"/>
        <n v="79"/>
        <n v="74"/>
        <n v="99"/>
        <n v="77"/>
        <n v="87"/>
        <n v="69"/>
        <n v="78"/>
        <n v="93"/>
        <n v="86"/>
        <n v="81"/>
        <n v="75"/>
        <n v="91"/>
        <n v="94"/>
        <n v="84"/>
        <n v="103"/>
      </sharedItems>
      <fieldGroup base="0">
        <rangePr autoStart="0" autoEnd="0" startNum="65" endNum="105" groupInterval="10"/>
        <groupItems count="6">
          <s v="&lt;65"/>
          <s v="65-74"/>
          <s v="75-84"/>
          <s v="85-94"/>
          <s v="95-105"/>
          <s v="&gt;105"/>
        </groupItems>
      </fieldGroup>
    </cacheField>
    <cacheField name="Diabetes" numFmtId="0">
      <sharedItems/>
    </cacheField>
    <cacheField name="BMI" numFmtId="0">
      <sharedItems containsSemiMixedTypes="0" containsString="0" containsNumber="1" minValue="18.399999999999999" maxValue="33.299999999999997"/>
    </cacheField>
    <cacheField name="Smoking" numFmtId="0">
      <sharedItems/>
    </cacheField>
    <cacheField name="Disease(Actual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C" refreshedDate="46274.756662615742" createdVersion="8" refreshedVersion="8" minRefreshableVersion="3" recordCount="32" xr:uid="{8DADE6A8-23A8-4B9F-A68F-B8B3F7EBE7A6}">
  <cacheSource type="worksheet">
    <worksheetSource ref="F1:H33" sheet="ACTUAL_DATASET"/>
  </cacheSource>
  <cacheFields count="3">
    <cacheField name="BMI" numFmtId="0">
      <sharedItems containsSemiMixedTypes="0" containsString="0" containsNumber="1" minValue="18.399999999999999" maxValue="33.299999999999997" count="27">
        <n v="28.5"/>
        <n v="31.2"/>
        <n v="24.1"/>
        <n v="29.8"/>
        <n v="22.5"/>
        <n v="26.4"/>
        <n v="31"/>
        <n v="19.3"/>
        <n v="18.399999999999999"/>
        <n v="19.2"/>
        <n v="20.7"/>
        <n v="25.5"/>
        <n v="30.6"/>
        <n v="30.9"/>
        <n v="28.2"/>
        <n v="33.299999999999997"/>
        <n v="27.1"/>
        <n v="25"/>
        <n v="27.7"/>
        <n v="28"/>
        <n v="26.3"/>
        <n v="26.9"/>
        <n v="26"/>
        <n v="30"/>
        <n v="27.3"/>
        <n v="23.5"/>
        <n v="32.200000000000003"/>
      </sharedItems>
      <fieldGroup base="0">
        <rangePr autoStart="0" autoEnd="0" startNum="18" endNum="35" groupInterval="5"/>
        <groupItems count="6">
          <s v="&lt;18"/>
          <s v="18-23"/>
          <s v="23-28"/>
          <s v="28-33"/>
          <s v="33-38"/>
          <s v="&gt;38"/>
        </groupItems>
      </fieldGroup>
    </cacheField>
    <cacheField name="Smoking" numFmtId="0">
      <sharedItems/>
    </cacheField>
    <cacheField name="Disease(Actual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C" refreshedDate="46274.785198611113" createdVersion="8" refreshedVersion="8" minRefreshableVersion="3" recordCount="32" xr:uid="{15AE7414-424C-4F1D-9402-03AF870018E5}">
  <cacheSource type="worksheet">
    <worksheetSource ref="E1:H33" sheet="ACTUAL_DATASET"/>
  </cacheSource>
  <cacheFields count="4">
    <cacheField name="Diabetes" numFmtId="0">
      <sharedItems count="2">
        <s v="Yes"/>
        <s v="No"/>
      </sharedItems>
    </cacheField>
    <cacheField name="BMI" numFmtId="0">
      <sharedItems containsSemiMixedTypes="0" containsString="0" containsNumber="1" minValue="18.399999999999999" maxValue="33.299999999999997"/>
    </cacheField>
    <cacheField name="Smoking" numFmtId="0">
      <sharedItems count="2">
        <s v="No"/>
        <s v="Yes"/>
      </sharedItems>
    </cacheField>
    <cacheField name="Disease(Actual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C" refreshedDate="46274.789575462964" createdVersion="8" refreshedVersion="8" minRefreshableVersion="3" recordCount="32" xr:uid="{635B93A7-9965-4F57-BBD1-55C1D60FF001}">
  <cacheSource type="worksheet">
    <worksheetSource ref="G1:H33" sheet="ACTUAL_DATASET"/>
  </cacheSource>
  <cacheFields count="2">
    <cacheField name="Smoking" numFmtId="0">
      <sharedItems count="2">
        <s v="No"/>
        <s v="Yes"/>
      </sharedItems>
    </cacheField>
    <cacheField name="Disease(Actual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130"/>
    <n v="85"/>
    <s v="Yes"/>
    <n v="28.5"/>
    <s v="No"/>
    <s v="Heart Disease"/>
  </r>
  <r>
    <x v="1"/>
    <n v="150"/>
    <n v="95"/>
    <s v="Yes"/>
    <n v="31.2"/>
    <s v="Yes"/>
    <s v="Heart Disease"/>
  </r>
  <r>
    <x v="2"/>
    <n v="120"/>
    <n v="80"/>
    <s v="No"/>
    <n v="24.1"/>
    <s v="No"/>
    <s v="No Disease"/>
  </r>
  <r>
    <x v="3"/>
    <n v="140"/>
    <n v="90"/>
    <s v="Yes"/>
    <n v="29.8"/>
    <s v="No"/>
    <s v="Heart Disease"/>
  </r>
  <r>
    <x v="4"/>
    <n v="110"/>
    <n v="70"/>
    <s v="No"/>
    <n v="22.5"/>
    <s v="No"/>
    <s v="No Disease"/>
  </r>
  <r>
    <x v="5"/>
    <n v="125"/>
    <n v="79"/>
    <s v="No"/>
    <n v="26.4"/>
    <s v="No"/>
    <s v="Heart Disease"/>
  </r>
  <r>
    <x v="6"/>
    <n v="120"/>
    <n v="74"/>
    <s v="No"/>
    <n v="31"/>
    <s v="Yes"/>
    <s v="Heart Disease"/>
  </r>
  <r>
    <x v="3"/>
    <n v="114"/>
    <n v="74"/>
    <s v="No"/>
    <n v="19.3"/>
    <s v="Yes"/>
    <s v="Heart Disease"/>
  </r>
  <r>
    <x v="7"/>
    <n v="153"/>
    <n v="99"/>
    <s v="No"/>
    <n v="18.399999999999999"/>
    <s v="Yes"/>
    <s v="Heart Disease"/>
  </r>
  <r>
    <x v="8"/>
    <n v="123"/>
    <n v="77"/>
    <s v="Yes"/>
    <n v="28.5"/>
    <s v="No"/>
    <s v="No Disease"/>
  </r>
  <r>
    <x v="2"/>
    <n v="118"/>
    <n v="77"/>
    <s v="No"/>
    <n v="26.4"/>
    <s v="Yes"/>
    <s v="No Disease"/>
  </r>
  <r>
    <x v="3"/>
    <n v="135"/>
    <n v="87"/>
    <s v="No"/>
    <n v="19.2"/>
    <s v="Yes"/>
    <s v="Heart Disease"/>
  </r>
  <r>
    <x v="2"/>
    <n v="114"/>
    <n v="69"/>
    <s v="Yes"/>
    <n v="20.7"/>
    <s v="No"/>
    <s v="No Disease"/>
  </r>
  <r>
    <x v="6"/>
    <n v="129"/>
    <n v="85"/>
    <s v="Yes"/>
    <n v="25.5"/>
    <s v="No"/>
    <s v="Heart Disease"/>
  </r>
  <r>
    <x v="9"/>
    <n v="126"/>
    <n v="78"/>
    <s v="No"/>
    <n v="30.6"/>
    <s v="No"/>
    <s v="Heart Disease"/>
  </r>
  <r>
    <x v="6"/>
    <n v="124"/>
    <n v="74"/>
    <s v="Yes"/>
    <n v="30.9"/>
    <s v="Yes"/>
    <s v="Heart Disease"/>
  </r>
  <r>
    <x v="10"/>
    <n v="141"/>
    <n v="93"/>
    <s v="No"/>
    <n v="28.2"/>
    <s v="Yes"/>
    <s v="Heart Disease"/>
  </r>
  <r>
    <x v="11"/>
    <n v="126"/>
    <n v="79"/>
    <s v="No"/>
    <n v="33.299999999999997"/>
    <s v="No"/>
    <s v="Heart Disease"/>
  </r>
  <r>
    <x v="10"/>
    <n v="130"/>
    <n v="86"/>
    <s v="Yes"/>
    <n v="27.1"/>
    <s v="No"/>
    <s v="Heart Disease"/>
  </r>
  <r>
    <x v="12"/>
    <n v="133"/>
    <n v="86"/>
    <s v="No"/>
    <n v="25"/>
    <s v="No"/>
    <s v="No Disease"/>
  </r>
  <r>
    <x v="13"/>
    <n v="129"/>
    <n v="81"/>
    <s v="No"/>
    <n v="27.7"/>
    <s v="No"/>
    <s v="Heart Disease"/>
  </r>
  <r>
    <x v="6"/>
    <n v="120"/>
    <n v="75"/>
    <s v="Yes"/>
    <n v="28"/>
    <s v="No"/>
    <s v="Heart Disease"/>
  </r>
  <r>
    <x v="5"/>
    <n v="126"/>
    <n v="86"/>
    <s v="Yes"/>
    <n v="26.3"/>
    <s v="No"/>
    <s v="No Disease"/>
  </r>
  <r>
    <x v="14"/>
    <n v="127"/>
    <n v="91"/>
    <s v="Yes"/>
    <n v="26.9"/>
    <s v="Yes"/>
    <s v="Heart Disease"/>
  </r>
  <r>
    <x v="5"/>
    <n v="142"/>
    <n v="90"/>
    <s v="Yes"/>
    <n v="26"/>
    <s v="Yes"/>
    <s v="Heart Disease"/>
  </r>
  <r>
    <x v="15"/>
    <n v="158"/>
    <n v="95"/>
    <s v="Yes"/>
    <n v="30"/>
    <s v="No"/>
    <s v="Heart Disease"/>
  </r>
  <r>
    <x v="16"/>
    <n v="142"/>
    <n v="94"/>
    <s v="No"/>
    <n v="27.3"/>
    <s v="No"/>
    <s v="Heart Disease"/>
  </r>
  <r>
    <x v="17"/>
    <n v="107"/>
    <n v="74"/>
    <s v="No"/>
    <n v="27.3"/>
    <s v="Yes"/>
    <s v="No Disease"/>
  </r>
  <r>
    <x v="18"/>
    <n v="129"/>
    <n v="84"/>
    <s v="Yes"/>
    <n v="23.5"/>
    <s v="No"/>
    <s v="No Disease"/>
  </r>
  <r>
    <x v="3"/>
    <n v="130"/>
    <n v="86"/>
    <s v="No"/>
    <n v="32.200000000000003"/>
    <s v="Yes"/>
    <s v="Heart Disease"/>
  </r>
  <r>
    <x v="19"/>
    <n v="139"/>
    <n v="93"/>
    <s v="No"/>
    <n v="23.5"/>
    <s v="No"/>
    <s v="Heart Disease"/>
  </r>
  <r>
    <x v="6"/>
    <n v="159"/>
    <n v="103"/>
    <s v="Yes"/>
    <n v="24.1"/>
    <s v="Yes"/>
    <s v="Heart Diseas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85"/>
    <s v="Yes"/>
    <n v="28.5"/>
    <s v="No"/>
    <s v="Heart Disease"/>
  </r>
  <r>
    <x v="1"/>
    <n v="95"/>
    <s v="Yes"/>
    <n v="31.2"/>
    <s v="Yes"/>
    <s v="Heart Disease"/>
  </r>
  <r>
    <x v="2"/>
    <n v="80"/>
    <s v="No"/>
    <n v="24.1"/>
    <s v="No"/>
    <s v="No Disease"/>
  </r>
  <r>
    <x v="3"/>
    <n v="90"/>
    <s v="Yes"/>
    <n v="29.8"/>
    <s v="No"/>
    <s v="Heart Disease"/>
  </r>
  <r>
    <x v="4"/>
    <n v="70"/>
    <s v="No"/>
    <n v="22.5"/>
    <s v="No"/>
    <s v="No Disease"/>
  </r>
  <r>
    <x v="5"/>
    <n v="79"/>
    <s v="No"/>
    <n v="26.4"/>
    <s v="No"/>
    <s v="Heart Disease"/>
  </r>
  <r>
    <x v="2"/>
    <n v="74"/>
    <s v="No"/>
    <n v="31"/>
    <s v="Yes"/>
    <s v="Heart Disease"/>
  </r>
  <r>
    <x v="6"/>
    <n v="74"/>
    <s v="No"/>
    <n v="19.3"/>
    <s v="Yes"/>
    <s v="Heart Disease"/>
  </r>
  <r>
    <x v="7"/>
    <n v="99"/>
    <s v="No"/>
    <n v="18.399999999999999"/>
    <s v="Yes"/>
    <s v="Heart Disease"/>
  </r>
  <r>
    <x v="8"/>
    <n v="77"/>
    <s v="Yes"/>
    <n v="28.5"/>
    <s v="No"/>
    <s v="No Disease"/>
  </r>
  <r>
    <x v="9"/>
    <n v="77"/>
    <s v="No"/>
    <n v="26.4"/>
    <s v="Yes"/>
    <s v="No Disease"/>
  </r>
  <r>
    <x v="10"/>
    <n v="87"/>
    <s v="No"/>
    <n v="19.2"/>
    <s v="Yes"/>
    <s v="Heart Disease"/>
  </r>
  <r>
    <x v="6"/>
    <n v="69"/>
    <s v="Yes"/>
    <n v="20.7"/>
    <s v="No"/>
    <s v="No Disease"/>
  </r>
  <r>
    <x v="11"/>
    <n v="85"/>
    <s v="Yes"/>
    <n v="25.5"/>
    <s v="No"/>
    <s v="Heart Disease"/>
  </r>
  <r>
    <x v="12"/>
    <n v="78"/>
    <s v="No"/>
    <n v="30.6"/>
    <s v="No"/>
    <s v="Heart Disease"/>
  </r>
  <r>
    <x v="13"/>
    <n v="74"/>
    <s v="Yes"/>
    <n v="30.9"/>
    <s v="Yes"/>
    <s v="Heart Disease"/>
  </r>
  <r>
    <x v="14"/>
    <n v="93"/>
    <s v="No"/>
    <n v="28.2"/>
    <s v="Yes"/>
    <s v="Heart Disease"/>
  </r>
  <r>
    <x v="12"/>
    <n v="79"/>
    <s v="No"/>
    <n v="33.299999999999997"/>
    <s v="No"/>
    <s v="Heart Disease"/>
  </r>
  <r>
    <x v="0"/>
    <n v="86"/>
    <s v="Yes"/>
    <n v="27.1"/>
    <s v="No"/>
    <s v="Heart Disease"/>
  </r>
  <r>
    <x v="15"/>
    <n v="86"/>
    <s v="No"/>
    <n v="25"/>
    <s v="No"/>
    <s v="No Disease"/>
  </r>
  <r>
    <x v="11"/>
    <n v="81"/>
    <s v="No"/>
    <n v="27.7"/>
    <s v="No"/>
    <s v="Heart Disease"/>
  </r>
  <r>
    <x v="2"/>
    <n v="75"/>
    <s v="Yes"/>
    <n v="28"/>
    <s v="No"/>
    <s v="Heart Disease"/>
  </r>
  <r>
    <x v="12"/>
    <n v="86"/>
    <s v="Yes"/>
    <n v="26.3"/>
    <s v="No"/>
    <s v="No Disease"/>
  </r>
  <r>
    <x v="16"/>
    <n v="91"/>
    <s v="Yes"/>
    <n v="26.9"/>
    <s v="Yes"/>
    <s v="Heart Disease"/>
  </r>
  <r>
    <x v="17"/>
    <n v="90"/>
    <s v="Yes"/>
    <n v="26"/>
    <s v="Yes"/>
    <s v="Heart Disease"/>
  </r>
  <r>
    <x v="18"/>
    <n v="95"/>
    <s v="Yes"/>
    <n v="30"/>
    <s v="No"/>
    <s v="Heart Disease"/>
  </r>
  <r>
    <x v="17"/>
    <n v="94"/>
    <s v="No"/>
    <n v="27.3"/>
    <s v="No"/>
    <s v="Heart Disease"/>
  </r>
  <r>
    <x v="19"/>
    <n v="74"/>
    <s v="No"/>
    <n v="27.3"/>
    <s v="Yes"/>
    <s v="No Disease"/>
  </r>
  <r>
    <x v="11"/>
    <n v="84"/>
    <s v="Yes"/>
    <n v="23.5"/>
    <s v="No"/>
    <s v="No Disease"/>
  </r>
  <r>
    <x v="0"/>
    <n v="86"/>
    <s v="No"/>
    <n v="32.200000000000003"/>
    <s v="Yes"/>
    <s v="Heart Disease"/>
  </r>
  <r>
    <x v="20"/>
    <n v="93"/>
    <s v="No"/>
    <n v="23.5"/>
    <s v="No"/>
    <s v="Heart Disease"/>
  </r>
  <r>
    <x v="21"/>
    <n v="103"/>
    <s v="Yes"/>
    <n v="24.1"/>
    <s v="Yes"/>
    <s v="Heart Diseas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Yes"/>
    <n v="28.5"/>
    <s v="No"/>
    <s v="Heart Disease"/>
  </r>
  <r>
    <x v="1"/>
    <s v="Yes"/>
    <n v="31.2"/>
    <s v="Yes"/>
    <s v="Heart Disease"/>
  </r>
  <r>
    <x v="2"/>
    <s v="No"/>
    <n v="24.1"/>
    <s v="No"/>
    <s v="No Disease"/>
  </r>
  <r>
    <x v="3"/>
    <s v="Yes"/>
    <n v="29.8"/>
    <s v="No"/>
    <s v="Heart Disease"/>
  </r>
  <r>
    <x v="4"/>
    <s v="No"/>
    <n v="22.5"/>
    <s v="No"/>
    <s v="No Disease"/>
  </r>
  <r>
    <x v="5"/>
    <s v="No"/>
    <n v="26.4"/>
    <s v="No"/>
    <s v="Heart Disease"/>
  </r>
  <r>
    <x v="6"/>
    <s v="No"/>
    <n v="31"/>
    <s v="Yes"/>
    <s v="Heart Disease"/>
  </r>
  <r>
    <x v="6"/>
    <s v="No"/>
    <n v="19.3"/>
    <s v="Yes"/>
    <s v="Heart Disease"/>
  </r>
  <r>
    <x v="7"/>
    <s v="No"/>
    <n v="18.399999999999999"/>
    <s v="Yes"/>
    <s v="Heart Disease"/>
  </r>
  <r>
    <x v="8"/>
    <s v="Yes"/>
    <n v="28.5"/>
    <s v="No"/>
    <s v="No Disease"/>
  </r>
  <r>
    <x v="8"/>
    <s v="No"/>
    <n v="26.4"/>
    <s v="Yes"/>
    <s v="No Disease"/>
  </r>
  <r>
    <x v="9"/>
    <s v="No"/>
    <n v="19.2"/>
    <s v="Yes"/>
    <s v="Heart Disease"/>
  </r>
  <r>
    <x v="10"/>
    <s v="Yes"/>
    <n v="20.7"/>
    <s v="No"/>
    <s v="No Disease"/>
  </r>
  <r>
    <x v="0"/>
    <s v="Yes"/>
    <n v="25.5"/>
    <s v="No"/>
    <s v="Heart Disease"/>
  </r>
  <r>
    <x v="11"/>
    <s v="No"/>
    <n v="30.6"/>
    <s v="No"/>
    <s v="Heart Disease"/>
  </r>
  <r>
    <x v="6"/>
    <s v="Yes"/>
    <n v="30.9"/>
    <s v="Yes"/>
    <s v="Heart Disease"/>
  </r>
  <r>
    <x v="12"/>
    <s v="No"/>
    <n v="28.2"/>
    <s v="Yes"/>
    <s v="Heart Disease"/>
  </r>
  <r>
    <x v="5"/>
    <s v="No"/>
    <n v="33.299999999999997"/>
    <s v="No"/>
    <s v="Heart Disease"/>
  </r>
  <r>
    <x v="13"/>
    <s v="Yes"/>
    <n v="27.1"/>
    <s v="No"/>
    <s v="Heart Disease"/>
  </r>
  <r>
    <x v="13"/>
    <s v="No"/>
    <n v="25"/>
    <s v="No"/>
    <s v="No Disease"/>
  </r>
  <r>
    <x v="14"/>
    <s v="No"/>
    <n v="27.7"/>
    <s v="No"/>
    <s v="Heart Disease"/>
  </r>
  <r>
    <x v="15"/>
    <s v="Yes"/>
    <n v="28"/>
    <s v="No"/>
    <s v="Heart Disease"/>
  </r>
  <r>
    <x v="13"/>
    <s v="Yes"/>
    <n v="26.3"/>
    <s v="No"/>
    <s v="No Disease"/>
  </r>
  <r>
    <x v="16"/>
    <s v="Yes"/>
    <n v="26.9"/>
    <s v="Yes"/>
    <s v="Heart Disease"/>
  </r>
  <r>
    <x v="3"/>
    <s v="Yes"/>
    <n v="26"/>
    <s v="Yes"/>
    <s v="Heart Disease"/>
  </r>
  <r>
    <x v="1"/>
    <s v="Yes"/>
    <n v="30"/>
    <s v="No"/>
    <s v="Heart Disease"/>
  </r>
  <r>
    <x v="17"/>
    <s v="No"/>
    <n v="27.3"/>
    <s v="No"/>
    <s v="Heart Disease"/>
  </r>
  <r>
    <x v="6"/>
    <s v="No"/>
    <n v="27.3"/>
    <s v="Yes"/>
    <s v="No Disease"/>
  </r>
  <r>
    <x v="18"/>
    <s v="Yes"/>
    <n v="23.5"/>
    <s v="No"/>
    <s v="No Disease"/>
  </r>
  <r>
    <x v="13"/>
    <s v="No"/>
    <n v="32.200000000000003"/>
    <s v="Yes"/>
    <s v="Heart Disease"/>
  </r>
  <r>
    <x v="12"/>
    <s v="No"/>
    <n v="23.5"/>
    <s v="No"/>
    <s v="Heart Disease"/>
  </r>
  <r>
    <x v="19"/>
    <s v="Yes"/>
    <n v="24.1"/>
    <s v="Yes"/>
    <s v="Heart Diseas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No"/>
    <s v="Heart Disease"/>
  </r>
  <r>
    <x v="1"/>
    <s v="Yes"/>
    <s v="Heart Disease"/>
  </r>
  <r>
    <x v="2"/>
    <s v="No"/>
    <s v="No Disease"/>
  </r>
  <r>
    <x v="3"/>
    <s v="No"/>
    <s v="Heart Disease"/>
  </r>
  <r>
    <x v="4"/>
    <s v="No"/>
    <s v="No Disease"/>
  </r>
  <r>
    <x v="5"/>
    <s v="No"/>
    <s v="Heart Disease"/>
  </r>
  <r>
    <x v="6"/>
    <s v="Yes"/>
    <s v="Heart Disease"/>
  </r>
  <r>
    <x v="7"/>
    <s v="Yes"/>
    <s v="Heart Disease"/>
  </r>
  <r>
    <x v="8"/>
    <s v="Yes"/>
    <s v="Heart Disease"/>
  </r>
  <r>
    <x v="0"/>
    <s v="No"/>
    <s v="No Disease"/>
  </r>
  <r>
    <x v="5"/>
    <s v="Yes"/>
    <s v="No Disease"/>
  </r>
  <r>
    <x v="9"/>
    <s v="Yes"/>
    <s v="Heart Disease"/>
  </r>
  <r>
    <x v="10"/>
    <s v="No"/>
    <s v="No Disease"/>
  </r>
  <r>
    <x v="11"/>
    <s v="No"/>
    <s v="Heart Disease"/>
  </r>
  <r>
    <x v="12"/>
    <s v="No"/>
    <s v="Heart Disease"/>
  </r>
  <r>
    <x v="13"/>
    <s v="Yes"/>
    <s v="Heart Disease"/>
  </r>
  <r>
    <x v="14"/>
    <s v="Yes"/>
    <s v="Heart Disease"/>
  </r>
  <r>
    <x v="15"/>
    <s v="No"/>
    <s v="Heart Disease"/>
  </r>
  <r>
    <x v="16"/>
    <s v="No"/>
    <s v="Heart Disease"/>
  </r>
  <r>
    <x v="17"/>
    <s v="No"/>
    <s v="No Disease"/>
  </r>
  <r>
    <x v="18"/>
    <s v="No"/>
    <s v="Heart Disease"/>
  </r>
  <r>
    <x v="19"/>
    <s v="No"/>
    <s v="Heart Disease"/>
  </r>
  <r>
    <x v="20"/>
    <s v="No"/>
    <s v="No Disease"/>
  </r>
  <r>
    <x v="21"/>
    <s v="Yes"/>
    <s v="Heart Disease"/>
  </r>
  <r>
    <x v="22"/>
    <s v="Yes"/>
    <s v="Heart Disease"/>
  </r>
  <r>
    <x v="23"/>
    <s v="No"/>
    <s v="Heart Disease"/>
  </r>
  <r>
    <x v="24"/>
    <s v="No"/>
    <s v="Heart Disease"/>
  </r>
  <r>
    <x v="24"/>
    <s v="Yes"/>
    <s v="No Disease"/>
  </r>
  <r>
    <x v="25"/>
    <s v="No"/>
    <s v="No Disease"/>
  </r>
  <r>
    <x v="26"/>
    <s v="Yes"/>
    <s v="Heart Disease"/>
  </r>
  <r>
    <x v="25"/>
    <s v="No"/>
    <s v="Heart Disease"/>
  </r>
  <r>
    <x v="2"/>
    <s v="Yes"/>
    <s v="Heart Disease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28.5"/>
    <x v="0"/>
    <s v="Heart Disease"/>
  </r>
  <r>
    <x v="0"/>
    <n v="31.2"/>
    <x v="1"/>
    <s v="Heart Disease"/>
  </r>
  <r>
    <x v="1"/>
    <n v="24.1"/>
    <x v="0"/>
    <s v="No Disease"/>
  </r>
  <r>
    <x v="0"/>
    <n v="29.8"/>
    <x v="0"/>
    <s v="Heart Disease"/>
  </r>
  <r>
    <x v="1"/>
    <n v="22.5"/>
    <x v="0"/>
    <s v="No Disease"/>
  </r>
  <r>
    <x v="1"/>
    <n v="26.4"/>
    <x v="0"/>
    <s v="Heart Disease"/>
  </r>
  <r>
    <x v="1"/>
    <n v="31"/>
    <x v="1"/>
    <s v="Heart Disease"/>
  </r>
  <r>
    <x v="1"/>
    <n v="19.3"/>
    <x v="1"/>
    <s v="Heart Disease"/>
  </r>
  <r>
    <x v="1"/>
    <n v="18.399999999999999"/>
    <x v="1"/>
    <s v="Heart Disease"/>
  </r>
  <r>
    <x v="0"/>
    <n v="28.5"/>
    <x v="0"/>
    <s v="No Disease"/>
  </r>
  <r>
    <x v="1"/>
    <n v="26.4"/>
    <x v="1"/>
    <s v="No Disease"/>
  </r>
  <r>
    <x v="1"/>
    <n v="19.2"/>
    <x v="1"/>
    <s v="Heart Disease"/>
  </r>
  <r>
    <x v="0"/>
    <n v="20.7"/>
    <x v="0"/>
    <s v="No Disease"/>
  </r>
  <r>
    <x v="0"/>
    <n v="25.5"/>
    <x v="0"/>
    <s v="Heart Disease"/>
  </r>
  <r>
    <x v="1"/>
    <n v="30.6"/>
    <x v="0"/>
    <s v="Heart Disease"/>
  </r>
  <r>
    <x v="0"/>
    <n v="30.9"/>
    <x v="1"/>
    <s v="Heart Disease"/>
  </r>
  <r>
    <x v="1"/>
    <n v="28.2"/>
    <x v="1"/>
    <s v="Heart Disease"/>
  </r>
  <r>
    <x v="1"/>
    <n v="33.299999999999997"/>
    <x v="0"/>
    <s v="Heart Disease"/>
  </r>
  <r>
    <x v="0"/>
    <n v="27.1"/>
    <x v="0"/>
    <s v="Heart Disease"/>
  </r>
  <r>
    <x v="1"/>
    <n v="25"/>
    <x v="0"/>
    <s v="No Disease"/>
  </r>
  <r>
    <x v="1"/>
    <n v="27.7"/>
    <x v="0"/>
    <s v="Heart Disease"/>
  </r>
  <r>
    <x v="0"/>
    <n v="28"/>
    <x v="0"/>
    <s v="Heart Disease"/>
  </r>
  <r>
    <x v="0"/>
    <n v="26.3"/>
    <x v="0"/>
    <s v="No Disease"/>
  </r>
  <r>
    <x v="0"/>
    <n v="26.9"/>
    <x v="1"/>
    <s v="Heart Disease"/>
  </r>
  <r>
    <x v="0"/>
    <n v="26"/>
    <x v="1"/>
    <s v="Heart Disease"/>
  </r>
  <r>
    <x v="0"/>
    <n v="30"/>
    <x v="0"/>
    <s v="Heart Disease"/>
  </r>
  <r>
    <x v="1"/>
    <n v="27.3"/>
    <x v="0"/>
    <s v="Heart Disease"/>
  </r>
  <r>
    <x v="1"/>
    <n v="27.3"/>
    <x v="1"/>
    <s v="No Disease"/>
  </r>
  <r>
    <x v="0"/>
    <n v="23.5"/>
    <x v="0"/>
    <s v="No Disease"/>
  </r>
  <r>
    <x v="1"/>
    <n v="32.200000000000003"/>
    <x v="1"/>
    <s v="Heart Disease"/>
  </r>
  <r>
    <x v="1"/>
    <n v="23.5"/>
    <x v="0"/>
    <s v="Heart Disease"/>
  </r>
  <r>
    <x v="0"/>
    <n v="24.1"/>
    <x v="1"/>
    <s v="Heart Disease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Heart Disease"/>
  </r>
  <r>
    <x v="1"/>
    <s v="Heart Disease"/>
  </r>
  <r>
    <x v="0"/>
    <s v="No Disease"/>
  </r>
  <r>
    <x v="0"/>
    <s v="Heart Disease"/>
  </r>
  <r>
    <x v="0"/>
    <s v="No Disease"/>
  </r>
  <r>
    <x v="0"/>
    <s v="Heart Disease"/>
  </r>
  <r>
    <x v="1"/>
    <s v="Heart Disease"/>
  </r>
  <r>
    <x v="1"/>
    <s v="Heart Disease"/>
  </r>
  <r>
    <x v="1"/>
    <s v="Heart Disease"/>
  </r>
  <r>
    <x v="0"/>
    <s v="No Disease"/>
  </r>
  <r>
    <x v="1"/>
    <s v="No Disease"/>
  </r>
  <r>
    <x v="1"/>
    <s v="Heart Disease"/>
  </r>
  <r>
    <x v="0"/>
    <s v="No Disease"/>
  </r>
  <r>
    <x v="0"/>
    <s v="Heart Disease"/>
  </r>
  <r>
    <x v="0"/>
    <s v="Heart Disease"/>
  </r>
  <r>
    <x v="1"/>
    <s v="Heart Disease"/>
  </r>
  <r>
    <x v="1"/>
    <s v="Heart Disease"/>
  </r>
  <r>
    <x v="0"/>
    <s v="Heart Disease"/>
  </r>
  <r>
    <x v="0"/>
    <s v="Heart Disease"/>
  </r>
  <r>
    <x v="0"/>
    <s v="No Disease"/>
  </r>
  <r>
    <x v="0"/>
    <s v="Heart Disease"/>
  </r>
  <r>
    <x v="0"/>
    <s v="Heart Disease"/>
  </r>
  <r>
    <x v="0"/>
    <s v="No Disease"/>
  </r>
  <r>
    <x v="1"/>
    <s v="Heart Disease"/>
  </r>
  <r>
    <x v="1"/>
    <s v="Heart Disease"/>
  </r>
  <r>
    <x v="0"/>
    <s v="Heart Disease"/>
  </r>
  <r>
    <x v="0"/>
    <s v="Heart Disease"/>
  </r>
  <r>
    <x v="1"/>
    <s v="No Disease"/>
  </r>
  <r>
    <x v="0"/>
    <s v="No Disease"/>
  </r>
  <r>
    <x v="1"/>
    <s v="Heart Disease"/>
  </r>
  <r>
    <x v="0"/>
    <s v="Heart Disease"/>
  </r>
  <r>
    <x v="1"/>
    <s v="Heart Diseas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62E2C-058A-473F-9704-771903B96705}" name="PivotTable6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 rowHeaderCaption="SMOKING HABIT">
  <location ref="K94:L9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Count of Disease(Actual)" fld="1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6F567-2BAB-4DB9-AA60-520B84FA7FCD}" name="PivotTable5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 rowHeaderCaption="DIABETES">
  <location ref="K78:L80" firstHeaderRow="1" firstDataRow="1" firstDataCol="1"/>
  <pivotFields count="4">
    <pivotField axis="axisRow"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Count of Disease(Actual)" fld="3" subtotal="count" baseField="0" baseItem="0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7ED93-FA66-484F-B951-FF455BD83E21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BMI">
  <location ref="K60:L64" firstHeaderRow="1" firstDataRow="1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0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Count of Disease(Actual)" fld="2" subtotal="count" baseField="0" baseItem="0"/>
  </dataFields>
  <formats count="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3FA09-A339-4939-8946-9F302F51BA78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 rowHeaderCaption="DIASTOLIC BP(mm Hg)">
  <location ref="K42:L46" firstHeaderRow="1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Count of Disease(Actual)" fld="4" subtotal="count" baseField="0" baseItem="0"/>
  </dataFields>
  <formats count="5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15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498B7-A837-42EF-99F6-0E73ABC0854D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SYSTOLIC BP(mm Hg)">
  <location ref="K26:L32" firstHeaderRow="1" firstDataRow="1" firstDataCol="1"/>
  <pivotFields count="6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Disease(Actual)" fld="5" subtotal="count" baseField="0" baseItem="0"/>
  </dataFields>
  <formats count="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6">
            <x v="1"/>
            <x v="2"/>
            <x v="3"/>
            <x v="4"/>
            <x v="5"/>
            <x v="6"/>
          </reference>
        </references>
      </pivotArea>
    </format>
    <format dxfId="20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05847-9EBF-476C-A372-5F6125809C2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Age Groups">
  <location ref="K10:L15" firstHeaderRow="1" firstDataRow="1" firstDataCol="1"/>
  <pivotFields count="7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Disease(Actual)" fld="6" subtotal="count" baseField="0" baseItem="0"/>
  </dataFields>
  <formats count="5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25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0E9A-4EE2-4B53-A361-E4D4ED7DEEBF}">
  <dimension ref="A1:R111"/>
  <sheetViews>
    <sheetView topLeftCell="A75" zoomScale="73" workbookViewId="0">
      <selection activeCell="K86" sqref="K86"/>
    </sheetView>
  </sheetViews>
  <sheetFormatPr defaultRowHeight="14.4" x14ac:dyDescent="0.3"/>
  <cols>
    <col min="1" max="2" width="8.88671875" style="2"/>
    <col min="3" max="3" width="15.21875" style="2" customWidth="1"/>
    <col min="4" max="4" width="14.88671875" style="2" customWidth="1"/>
    <col min="5" max="5" width="12.109375" style="2" customWidth="1"/>
    <col min="6" max="6" width="12" style="2" customWidth="1"/>
    <col min="7" max="7" width="11.77734375" style="2" customWidth="1"/>
    <col min="8" max="8" width="20.109375" style="2" customWidth="1"/>
    <col min="9" max="9" width="15.77734375" style="2" customWidth="1"/>
    <col min="10" max="10" width="10.109375" style="2" customWidth="1"/>
    <col min="11" max="11" width="29.88671875" style="2" customWidth="1"/>
    <col min="12" max="12" width="22" style="2" bestFit="1" customWidth="1"/>
    <col min="13" max="13" width="13.77734375" style="2" customWidth="1"/>
    <col min="14" max="14" width="13.44140625" style="2" customWidth="1"/>
    <col min="15" max="15" width="11.5546875" style="2" customWidth="1"/>
    <col min="16" max="16" width="10.33203125" style="2" customWidth="1"/>
    <col min="17" max="17" width="13.21875" style="2" customWidth="1"/>
    <col min="18" max="18" width="25.109375" style="2" customWidth="1"/>
    <col min="19" max="19" width="22.21875" style="2" customWidth="1"/>
    <col min="20" max="20" width="19.33203125" style="2" customWidth="1"/>
    <col min="21" max="21" width="15" style="2" customWidth="1"/>
    <col min="22" max="16384" width="8.88671875" style="2"/>
  </cols>
  <sheetData>
    <row r="1" spans="1:13" ht="15" thickBot="1" x14ac:dyDescent="0.35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38</v>
      </c>
      <c r="I1" s="1"/>
    </row>
    <row r="2" spans="1:13" ht="23.4" x14ac:dyDescent="0.45">
      <c r="A2" s="112">
        <v>1</v>
      </c>
      <c r="B2" s="2">
        <v>45</v>
      </c>
      <c r="C2" s="2">
        <v>130</v>
      </c>
      <c r="D2" s="2">
        <v>85</v>
      </c>
      <c r="E2" s="2" t="s">
        <v>7</v>
      </c>
      <c r="F2" s="2">
        <v>28.5</v>
      </c>
      <c r="G2" s="2" t="s">
        <v>8</v>
      </c>
      <c r="H2" s="94" t="s">
        <v>9</v>
      </c>
      <c r="K2" s="109"/>
      <c r="L2" s="110" t="s">
        <v>90</v>
      </c>
      <c r="M2" s="111"/>
    </row>
    <row r="3" spans="1:13" x14ac:dyDescent="0.3">
      <c r="A3" s="112">
        <v>2</v>
      </c>
      <c r="B3" s="2">
        <v>60</v>
      </c>
      <c r="C3" s="2">
        <v>150</v>
      </c>
      <c r="D3" s="2">
        <v>95</v>
      </c>
      <c r="E3" s="2" t="s">
        <v>7</v>
      </c>
      <c r="F3" s="2">
        <v>31.2</v>
      </c>
      <c r="G3" s="2" t="s">
        <v>7</v>
      </c>
      <c r="H3" s="94" t="s">
        <v>9</v>
      </c>
      <c r="K3" s="112" t="s">
        <v>95</v>
      </c>
      <c r="L3" s="123">
        <f>COUNTIF(H2:H33,"Heart Disease")</f>
        <v>23</v>
      </c>
      <c r="M3" s="124"/>
    </row>
    <row r="4" spans="1:13" ht="15" thickBot="1" x14ac:dyDescent="0.35">
      <c r="A4" s="112">
        <v>3</v>
      </c>
      <c r="B4" s="2">
        <v>35</v>
      </c>
      <c r="C4" s="2">
        <v>120</v>
      </c>
      <c r="D4" s="2">
        <v>80</v>
      </c>
      <c r="E4" s="2" t="s">
        <v>8</v>
      </c>
      <c r="F4" s="2">
        <v>24.1</v>
      </c>
      <c r="G4" s="2" t="s">
        <v>8</v>
      </c>
      <c r="H4" s="94" t="s">
        <v>10</v>
      </c>
      <c r="K4" s="113" t="s">
        <v>99</v>
      </c>
      <c r="L4" s="125">
        <v>32</v>
      </c>
      <c r="M4" s="126"/>
    </row>
    <row r="5" spans="1:13" x14ac:dyDescent="0.3">
      <c r="A5" s="112">
        <v>4</v>
      </c>
      <c r="B5" s="2">
        <v>50</v>
      </c>
      <c r="C5" s="2">
        <v>140</v>
      </c>
      <c r="D5" s="2">
        <v>90</v>
      </c>
      <c r="E5" s="2" t="s">
        <v>7</v>
      </c>
      <c r="F5" s="2">
        <v>29.8</v>
      </c>
      <c r="G5" s="2" t="s">
        <v>8</v>
      </c>
      <c r="H5" s="94" t="s">
        <v>9</v>
      </c>
    </row>
    <row r="6" spans="1:13" x14ac:dyDescent="0.3">
      <c r="A6" s="112">
        <v>5</v>
      </c>
      <c r="B6" s="2">
        <v>28</v>
      </c>
      <c r="C6" s="2">
        <v>110</v>
      </c>
      <c r="D6" s="2">
        <v>70</v>
      </c>
      <c r="E6" s="2" t="s">
        <v>8</v>
      </c>
      <c r="F6" s="2">
        <v>22.5</v>
      </c>
      <c r="G6" s="2" t="s">
        <v>8</v>
      </c>
      <c r="H6" s="94" t="s">
        <v>10</v>
      </c>
    </row>
    <row r="7" spans="1:13" x14ac:dyDescent="0.3">
      <c r="A7" s="112">
        <v>6</v>
      </c>
      <c r="B7" s="2">
        <v>53</v>
      </c>
      <c r="C7" s="2">
        <v>125</v>
      </c>
      <c r="D7" s="2">
        <v>79</v>
      </c>
      <c r="E7" s="2" t="s">
        <v>8</v>
      </c>
      <c r="F7" s="2">
        <v>26.4</v>
      </c>
      <c r="G7" s="2" t="s">
        <v>8</v>
      </c>
      <c r="H7" s="94" t="s">
        <v>9</v>
      </c>
    </row>
    <row r="8" spans="1:13" x14ac:dyDescent="0.3">
      <c r="A8" s="112">
        <v>7</v>
      </c>
      <c r="B8" s="2">
        <v>51</v>
      </c>
      <c r="C8" s="2">
        <v>120</v>
      </c>
      <c r="D8" s="2">
        <v>74</v>
      </c>
      <c r="E8" s="2" t="s">
        <v>8</v>
      </c>
      <c r="F8" s="2">
        <v>31</v>
      </c>
      <c r="G8" s="2" t="s">
        <v>7</v>
      </c>
      <c r="H8" s="94" t="s">
        <v>9</v>
      </c>
    </row>
    <row r="9" spans="1:13" ht="15" thickBot="1" x14ac:dyDescent="0.35">
      <c r="A9" s="112">
        <v>8</v>
      </c>
      <c r="B9" s="2">
        <v>50</v>
      </c>
      <c r="C9" s="2">
        <v>114</v>
      </c>
      <c r="D9" s="2">
        <v>74</v>
      </c>
      <c r="E9" s="2" t="s">
        <v>8</v>
      </c>
      <c r="F9" s="2">
        <v>19.3</v>
      </c>
      <c r="G9" s="2" t="s">
        <v>7</v>
      </c>
      <c r="H9" s="94" t="s">
        <v>9</v>
      </c>
    </row>
    <row r="10" spans="1:13" x14ac:dyDescent="0.3">
      <c r="A10" s="112">
        <v>9</v>
      </c>
      <c r="B10" s="2">
        <v>39</v>
      </c>
      <c r="C10" s="2">
        <v>153</v>
      </c>
      <c r="D10" s="2">
        <v>99</v>
      </c>
      <c r="E10" s="2" t="s">
        <v>8</v>
      </c>
      <c r="F10" s="2">
        <v>18.399999999999999</v>
      </c>
      <c r="G10" s="2" t="s">
        <v>7</v>
      </c>
      <c r="H10" s="94" t="s">
        <v>9</v>
      </c>
      <c r="K10" s="155" t="s">
        <v>105</v>
      </c>
      <c r="L10" s="156" t="s">
        <v>106</v>
      </c>
      <c r="M10"/>
    </row>
    <row r="11" spans="1:13" x14ac:dyDescent="0.3">
      <c r="A11" s="112">
        <v>10</v>
      </c>
      <c r="B11" s="2">
        <v>34</v>
      </c>
      <c r="C11" s="2">
        <v>123</v>
      </c>
      <c r="D11" s="2">
        <v>77</v>
      </c>
      <c r="E11" s="2" t="s">
        <v>7</v>
      </c>
      <c r="F11" s="2">
        <v>28.5</v>
      </c>
      <c r="G11" s="2" t="s">
        <v>8</v>
      </c>
      <c r="H11" s="94" t="s">
        <v>10</v>
      </c>
      <c r="K11" s="157" t="s">
        <v>100</v>
      </c>
      <c r="L11" s="4">
        <v>3</v>
      </c>
      <c r="M11"/>
    </row>
    <row r="12" spans="1:13" x14ac:dyDescent="0.3">
      <c r="A12" s="112">
        <v>11</v>
      </c>
      <c r="B12" s="2">
        <v>35</v>
      </c>
      <c r="C12" s="2">
        <v>118</v>
      </c>
      <c r="D12" s="2">
        <v>77</v>
      </c>
      <c r="E12" s="2" t="s">
        <v>8</v>
      </c>
      <c r="F12" s="2">
        <v>26.4</v>
      </c>
      <c r="G12" s="2" t="s">
        <v>7</v>
      </c>
      <c r="H12" s="94" t="s">
        <v>10</v>
      </c>
      <c r="K12" s="157" t="s">
        <v>101</v>
      </c>
      <c r="L12" s="4">
        <v>7</v>
      </c>
      <c r="M12"/>
    </row>
    <row r="13" spans="1:13" x14ac:dyDescent="0.3">
      <c r="A13" s="112">
        <v>12</v>
      </c>
      <c r="B13" s="2">
        <v>50</v>
      </c>
      <c r="C13" s="2">
        <v>135</v>
      </c>
      <c r="D13" s="2">
        <v>87</v>
      </c>
      <c r="E13" s="2" t="s">
        <v>8</v>
      </c>
      <c r="F13" s="2">
        <v>19.2</v>
      </c>
      <c r="G13" s="2" t="s">
        <v>7</v>
      </c>
      <c r="H13" s="94" t="s">
        <v>9</v>
      </c>
      <c r="K13" s="157" t="s">
        <v>102</v>
      </c>
      <c r="L13" s="4">
        <v>3</v>
      </c>
      <c r="M13"/>
    </row>
    <row r="14" spans="1:13" x14ac:dyDescent="0.3">
      <c r="A14" s="112">
        <v>13</v>
      </c>
      <c r="B14" s="2">
        <v>35</v>
      </c>
      <c r="C14" s="2">
        <v>114</v>
      </c>
      <c r="D14" s="2">
        <v>69</v>
      </c>
      <c r="E14" s="2" t="s">
        <v>7</v>
      </c>
      <c r="F14" s="2">
        <v>20.7</v>
      </c>
      <c r="G14" s="2" t="s">
        <v>8</v>
      </c>
      <c r="H14" s="94" t="s">
        <v>10</v>
      </c>
      <c r="K14" s="157" t="s">
        <v>103</v>
      </c>
      <c r="L14" s="4">
        <v>15</v>
      </c>
      <c r="M14"/>
    </row>
    <row r="15" spans="1:13" x14ac:dyDescent="0.3">
      <c r="A15" s="112">
        <v>14</v>
      </c>
      <c r="B15" s="2">
        <v>51</v>
      </c>
      <c r="C15" s="2">
        <v>129</v>
      </c>
      <c r="D15" s="2">
        <v>85</v>
      </c>
      <c r="E15" s="2" t="s">
        <v>7</v>
      </c>
      <c r="F15" s="2">
        <v>25.5</v>
      </c>
      <c r="G15" s="2" t="s">
        <v>8</v>
      </c>
      <c r="H15" s="94" t="s">
        <v>9</v>
      </c>
      <c r="K15" s="157" t="s">
        <v>104</v>
      </c>
      <c r="L15" s="4">
        <v>4</v>
      </c>
      <c r="M15"/>
    </row>
    <row r="16" spans="1:13" ht="15" thickBot="1" x14ac:dyDescent="0.35">
      <c r="A16" s="112">
        <v>15</v>
      </c>
      <c r="B16" s="2">
        <v>54</v>
      </c>
      <c r="C16" s="2">
        <v>126</v>
      </c>
      <c r="D16" s="2">
        <v>78</v>
      </c>
      <c r="E16" s="2" t="s">
        <v>8</v>
      </c>
      <c r="F16" s="2">
        <v>30.6</v>
      </c>
      <c r="G16" s="2" t="s">
        <v>8</v>
      </c>
      <c r="H16" s="94" t="s">
        <v>9</v>
      </c>
      <c r="K16" s="5"/>
      <c r="L16" s="6"/>
      <c r="M16"/>
    </row>
    <row r="17" spans="1:13" x14ac:dyDescent="0.3">
      <c r="A17" s="112">
        <v>16</v>
      </c>
      <c r="B17" s="2">
        <v>51</v>
      </c>
      <c r="C17" s="2">
        <v>124</v>
      </c>
      <c r="D17" s="2">
        <v>74</v>
      </c>
      <c r="E17" s="2" t="s">
        <v>7</v>
      </c>
      <c r="F17" s="2">
        <v>30.9</v>
      </c>
      <c r="G17" s="2" t="s">
        <v>7</v>
      </c>
      <c r="H17" s="94" t="s">
        <v>9</v>
      </c>
      <c r="K17"/>
      <c r="L17"/>
      <c r="M17"/>
    </row>
    <row r="18" spans="1:13" x14ac:dyDescent="0.3">
      <c r="A18" s="112">
        <v>17</v>
      </c>
      <c r="B18" s="2">
        <v>58</v>
      </c>
      <c r="C18" s="2">
        <v>141</v>
      </c>
      <c r="D18" s="2">
        <v>93</v>
      </c>
      <c r="E18" s="2" t="s">
        <v>8</v>
      </c>
      <c r="F18" s="2">
        <v>28.2</v>
      </c>
      <c r="G18" s="2" t="s">
        <v>7</v>
      </c>
      <c r="H18" s="94" t="s">
        <v>9</v>
      </c>
      <c r="K18"/>
      <c r="L18"/>
      <c r="M18"/>
    </row>
    <row r="19" spans="1:13" x14ac:dyDescent="0.3">
      <c r="A19" s="112">
        <v>18</v>
      </c>
      <c r="B19" s="2">
        <v>47</v>
      </c>
      <c r="C19" s="2">
        <v>126</v>
      </c>
      <c r="D19" s="2">
        <v>79</v>
      </c>
      <c r="E19" s="2" t="s">
        <v>8</v>
      </c>
      <c r="F19" s="2">
        <v>33.299999999999997</v>
      </c>
      <c r="G19" s="2" t="s">
        <v>8</v>
      </c>
      <c r="H19" s="94" t="s">
        <v>9</v>
      </c>
      <c r="K19"/>
      <c r="L19"/>
      <c r="M19"/>
    </row>
    <row r="20" spans="1:13" x14ac:dyDescent="0.3">
      <c r="A20" s="112">
        <v>19</v>
      </c>
      <c r="B20" s="2">
        <v>58</v>
      </c>
      <c r="C20" s="2">
        <v>130</v>
      </c>
      <c r="D20" s="2">
        <v>86</v>
      </c>
      <c r="E20" s="2" t="s">
        <v>7</v>
      </c>
      <c r="F20" s="2">
        <v>27.1</v>
      </c>
      <c r="G20" s="2" t="s">
        <v>8</v>
      </c>
      <c r="H20" s="94" t="s">
        <v>9</v>
      </c>
      <c r="K20"/>
      <c r="L20"/>
      <c r="M20"/>
    </row>
    <row r="21" spans="1:13" x14ac:dyDescent="0.3">
      <c r="A21" s="112">
        <v>20</v>
      </c>
      <c r="B21" s="2">
        <v>38</v>
      </c>
      <c r="C21" s="2">
        <v>133</v>
      </c>
      <c r="D21" s="2">
        <v>86</v>
      </c>
      <c r="E21" s="2" t="s">
        <v>8</v>
      </c>
      <c r="F21" s="2">
        <v>25</v>
      </c>
      <c r="G21" s="2" t="s">
        <v>8</v>
      </c>
      <c r="H21" s="94" t="s">
        <v>10</v>
      </c>
      <c r="K21"/>
      <c r="L21"/>
      <c r="M21"/>
    </row>
    <row r="22" spans="1:13" x14ac:dyDescent="0.3">
      <c r="A22" s="112">
        <v>21</v>
      </c>
      <c r="B22" s="2">
        <v>64</v>
      </c>
      <c r="C22" s="2">
        <v>129</v>
      </c>
      <c r="D22" s="2">
        <v>81</v>
      </c>
      <c r="E22" s="2" t="s">
        <v>8</v>
      </c>
      <c r="F22" s="2">
        <v>27.7</v>
      </c>
      <c r="G22" s="2" t="s">
        <v>8</v>
      </c>
      <c r="H22" s="94" t="s">
        <v>9</v>
      </c>
      <c r="K22"/>
      <c r="L22"/>
      <c r="M22"/>
    </row>
    <row r="23" spans="1:13" x14ac:dyDescent="0.3">
      <c r="A23" s="112">
        <v>22</v>
      </c>
      <c r="B23" s="2">
        <v>51</v>
      </c>
      <c r="C23" s="2">
        <v>120</v>
      </c>
      <c r="D23" s="2">
        <v>75</v>
      </c>
      <c r="E23" s="2" t="s">
        <v>7</v>
      </c>
      <c r="F23" s="2">
        <v>28</v>
      </c>
      <c r="G23" s="2" t="s">
        <v>8</v>
      </c>
      <c r="H23" s="94" t="s">
        <v>9</v>
      </c>
      <c r="K23"/>
      <c r="L23"/>
      <c r="M23"/>
    </row>
    <row r="24" spans="1:13" x14ac:dyDescent="0.3">
      <c r="A24" s="112">
        <v>23</v>
      </c>
      <c r="B24" s="2">
        <v>53</v>
      </c>
      <c r="C24" s="2">
        <v>126</v>
      </c>
      <c r="D24" s="2">
        <v>86</v>
      </c>
      <c r="E24" s="2" t="s">
        <v>7</v>
      </c>
      <c r="F24" s="2">
        <v>26.3</v>
      </c>
      <c r="G24" s="2" t="s">
        <v>8</v>
      </c>
      <c r="H24" s="94" t="s">
        <v>10</v>
      </c>
      <c r="K24"/>
      <c r="L24"/>
      <c r="M24"/>
    </row>
    <row r="25" spans="1:13" ht="15" thickBot="1" x14ac:dyDescent="0.35">
      <c r="A25" s="112">
        <v>24</v>
      </c>
      <c r="B25" s="2">
        <v>24</v>
      </c>
      <c r="C25" s="2">
        <v>127</v>
      </c>
      <c r="D25" s="2">
        <v>91</v>
      </c>
      <c r="E25" s="2" t="s">
        <v>7</v>
      </c>
      <c r="F25" s="2">
        <v>26.9</v>
      </c>
      <c r="G25" s="2" t="s">
        <v>7</v>
      </c>
      <c r="H25" s="94" t="s">
        <v>9</v>
      </c>
      <c r="K25"/>
      <c r="L25"/>
      <c r="M25"/>
    </row>
    <row r="26" spans="1:13" x14ac:dyDescent="0.3">
      <c r="A26" s="112">
        <v>25</v>
      </c>
      <c r="B26" s="2">
        <v>53</v>
      </c>
      <c r="C26" s="2">
        <v>142</v>
      </c>
      <c r="D26" s="2">
        <v>90</v>
      </c>
      <c r="E26" s="2" t="s">
        <v>7</v>
      </c>
      <c r="F26" s="2">
        <v>26</v>
      </c>
      <c r="G26" s="2" t="s">
        <v>7</v>
      </c>
      <c r="H26" s="94" t="s">
        <v>9</v>
      </c>
      <c r="K26" s="155" t="s">
        <v>113</v>
      </c>
      <c r="L26" s="156" t="s">
        <v>106</v>
      </c>
      <c r="M26"/>
    </row>
    <row r="27" spans="1:13" x14ac:dyDescent="0.3">
      <c r="A27" s="112">
        <v>26</v>
      </c>
      <c r="B27" s="2">
        <v>61</v>
      </c>
      <c r="C27" s="2">
        <v>158</v>
      </c>
      <c r="D27" s="2">
        <v>95</v>
      </c>
      <c r="E27" s="2" t="s">
        <v>7</v>
      </c>
      <c r="F27" s="2">
        <v>30</v>
      </c>
      <c r="G27" s="2" t="s">
        <v>8</v>
      </c>
      <c r="H27" s="94" t="s">
        <v>9</v>
      </c>
      <c r="K27" s="157" t="s">
        <v>107</v>
      </c>
      <c r="L27" s="4">
        <v>1</v>
      </c>
      <c r="M27"/>
    </row>
    <row r="28" spans="1:13" x14ac:dyDescent="0.3">
      <c r="A28" s="112">
        <v>27</v>
      </c>
      <c r="B28" s="2">
        <v>37</v>
      </c>
      <c r="C28" s="2">
        <v>142</v>
      </c>
      <c r="D28" s="2">
        <v>94</v>
      </c>
      <c r="E28" s="2" t="s">
        <v>8</v>
      </c>
      <c r="F28" s="2">
        <v>27.3</v>
      </c>
      <c r="G28" s="2" t="s">
        <v>8</v>
      </c>
      <c r="H28" s="94" t="s">
        <v>9</v>
      </c>
      <c r="K28" s="157" t="s">
        <v>108</v>
      </c>
      <c r="L28" s="4">
        <v>4</v>
      </c>
      <c r="M28"/>
    </row>
    <row r="29" spans="1:13" x14ac:dyDescent="0.3">
      <c r="A29" s="112">
        <v>28</v>
      </c>
      <c r="B29" s="2">
        <v>29</v>
      </c>
      <c r="C29" s="2">
        <v>107</v>
      </c>
      <c r="D29" s="2">
        <v>74</v>
      </c>
      <c r="E29" s="2" t="s">
        <v>8</v>
      </c>
      <c r="F29" s="2">
        <v>27.3</v>
      </c>
      <c r="G29" s="2" t="s">
        <v>7</v>
      </c>
      <c r="H29" s="94" t="s">
        <v>10</v>
      </c>
      <c r="K29" s="157" t="s">
        <v>109</v>
      </c>
      <c r="L29" s="4">
        <v>13</v>
      </c>
      <c r="M29"/>
    </row>
    <row r="30" spans="1:13" x14ac:dyDescent="0.3">
      <c r="A30" s="112">
        <v>29</v>
      </c>
      <c r="B30" s="2">
        <v>43</v>
      </c>
      <c r="C30" s="2">
        <v>129</v>
      </c>
      <c r="D30" s="2">
        <v>84</v>
      </c>
      <c r="E30" s="2" t="s">
        <v>7</v>
      </c>
      <c r="F30" s="2">
        <v>23.5</v>
      </c>
      <c r="G30" s="2" t="s">
        <v>8</v>
      </c>
      <c r="H30" s="94" t="s">
        <v>10</v>
      </c>
      <c r="K30" s="157" t="s">
        <v>110</v>
      </c>
      <c r="L30" s="4">
        <v>6</v>
      </c>
      <c r="M30"/>
    </row>
    <row r="31" spans="1:13" x14ac:dyDescent="0.3">
      <c r="A31" s="112">
        <v>30</v>
      </c>
      <c r="B31" s="2">
        <v>50</v>
      </c>
      <c r="C31" s="2">
        <v>130</v>
      </c>
      <c r="D31" s="2">
        <v>86</v>
      </c>
      <c r="E31" s="2" t="s">
        <v>8</v>
      </c>
      <c r="F31" s="2">
        <v>32.200000000000003</v>
      </c>
      <c r="G31" s="2" t="s">
        <v>7</v>
      </c>
      <c r="H31" s="94" t="s">
        <v>9</v>
      </c>
      <c r="K31" s="157" t="s">
        <v>111</v>
      </c>
      <c r="L31" s="4">
        <v>4</v>
      </c>
      <c r="M31"/>
    </row>
    <row r="32" spans="1:13" x14ac:dyDescent="0.3">
      <c r="A32" s="112">
        <v>31</v>
      </c>
      <c r="B32" s="2">
        <v>63</v>
      </c>
      <c r="C32" s="2">
        <v>139</v>
      </c>
      <c r="D32" s="2">
        <v>93</v>
      </c>
      <c r="E32" s="2" t="s">
        <v>8</v>
      </c>
      <c r="F32" s="2">
        <v>23.5</v>
      </c>
      <c r="G32" s="2" t="s">
        <v>8</v>
      </c>
      <c r="H32" s="94" t="s">
        <v>9</v>
      </c>
      <c r="K32" s="157" t="s">
        <v>112</v>
      </c>
      <c r="L32" s="4">
        <v>4</v>
      </c>
      <c r="M32"/>
    </row>
    <row r="33" spans="1:13" ht="15" thickBot="1" x14ac:dyDescent="0.35">
      <c r="A33" s="113">
        <v>32</v>
      </c>
      <c r="B33" s="96">
        <v>51</v>
      </c>
      <c r="C33" s="96">
        <v>159</v>
      </c>
      <c r="D33" s="96">
        <v>103</v>
      </c>
      <c r="E33" s="96" t="s">
        <v>7</v>
      </c>
      <c r="F33" s="96">
        <v>24.1</v>
      </c>
      <c r="G33" s="96" t="s">
        <v>7</v>
      </c>
      <c r="H33" s="97" t="s">
        <v>9</v>
      </c>
      <c r="K33" s="5"/>
      <c r="L33" s="6"/>
      <c r="M33"/>
    </row>
    <row r="34" spans="1:13" x14ac:dyDescent="0.3">
      <c r="K34"/>
      <c r="L34"/>
      <c r="M34"/>
    </row>
    <row r="35" spans="1:13" x14ac:dyDescent="0.3">
      <c r="K35"/>
      <c r="L35"/>
      <c r="M35"/>
    </row>
    <row r="36" spans="1:13" x14ac:dyDescent="0.3">
      <c r="K36"/>
      <c r="L36"/>
      <c r="M36"/>
    </row>
    <row r="37" spans="1:13" x14ac:dyDescent="0.3">
      <c r="K37"/>
      <c r="L37"/>
      <c r="M37"/>
    </row>
    <row r="38" spans="1:13" x14ac:dyDescent="0.3">
      <c r="K38"/>
      <c r="L38"/>
      <c r="M38"/>
    </row>
    <row r="39" spans="1:13" x14ac:dyDescent="0.3">
      <c r="K39"/>
      <c r="L39"/>
      <c r="M39"/>
    </row>
    <row r="40" spans="1:13" x14ac:dyDescent="0.3">
      <c r="K40"/>
      <c r="L40"/>
      <c r="M40"/>
    </row>
    <row r="41" spans="1:13" ht="15" thickBot="1" x14ac:dyDescent="0.35">
      <c r="K41"/>
      <c r="L41"/>
      <c r="M41"/>
    </row>
    <row r="42" spans="1:13" x14ac:dyDescent="0.3">
      <c r="K42" s="155" t="s">
        <v>118</v>
      </c>
      <c r="L42" s="156" t="s">
        <v>106</v>
      </c>
      <c r="M42"/>
    </row>
    <row r="43" spans="1:13" x14ac:dyDescent="0.3">
      <c r="K43" s="157" t="s">
        <v>114</v>
      </c>
      <c r="L43" s="4">
        <v>6</v>
      </c>
      <c r="M43"/>
    </row>
    <row r="44" spans="1:13" x14ac:dyDescent="0.3">
      <c r="K44" s="157" t="s">
        <v>115</v>
      </c>
      <c r="L44" s="4">
        <v>9</v>
      </c>
      <c r="M44"/>
    </row>
    <row r="45" spans="1:13" x14ac:dyDescent="0.3">
      <c r="K45" s="157" t="s">
        <v>116</v>
      </c>
      <c r="L45" s="4">
        <v>13</v>
      </c>
      <c r="M45"/>
    </row>
    <row r="46" spans="1:13" ht="15" thickBot="1" x14ac:dyDescent="0.35">
      <c r="K46" s="158" t="s">
        <v>117</v>
      </c>
      <c r="L46" s="6">
        <v>4</v>
      </c>
      <c r="M46"/>
    </row>
    <row r="47" spans="1:13" x14ac:dyDescent="0.3">
      <c r="K47"/>
      <c r="L47"/>
      <c r="M47"/>
    </row>
    <row r="48" spans="1:13" x14ac:dyDescent="0.3">
      <c r="K48"/>
      <c r="L48"/>
      <c r="M48"/>
    </row>
    <row r="49" spans="10:18" x14ac:dyDescent="0.3">
      <c r="K49"/>
      <c r="L49"/>
      <c r="M49"/>
    </row>
    <row r="50" spans="10:18" x14ac:dyDescent="0.3">
      <c r="K50"/>
      <c r="L50"/>
      <c r="M50"/>
    </row>
    <row r="51" spans="10:18" x14ac:dyDescent="0.3">
      <c r="K51"/>
      <c r="L51"/>
      <c r="M51"/>
    </row>
    <row r="52" spans="10:18" x14ac:dyDescent="0.3">
      <c r="K52"/>
      <c r="L52"/>
      <c r="M52"/>
    </row>
    <row r="53" spans="10:18" x14ac:dyDescent="0.3">
      <c r="K53"/>
      <c r="L53"/>
      <c r="M53"/>
    </row>
    <row r="54" spans="10:18" x14ac:dyDescent="0.3">
      <c r="K54"/>
      <c r="L54"/>
      <c r="M54"/>
    </row>
    <row r="55" spans="10:18" x14ac:dyDescent="0.3">
      <c r="K55"/>
      <c r="L55"/>
      <c r="M55"/>
    </row>
    <row r="56" spans="10:18" x14ac:dyDescent="0.3">
      <c r="K56"/>
      <c r="L56"/>
      <c r="M56"/>
    </row>
    <row r="57" spans="10:18" x14ac:dyDescent="0.3">
      <c r="K57"/>
      <c r="L57"/>
      <c r="M57"/>
    </row>
    <row r="58" spans="10:18" x14ac:dyDescent="0.3">
      <c r="K58"/>
      <c r="L58"/>
      <c r="M58"/>
    </row>
    <row r="59" spans="10:18" ht="15" thickBot="1" x14ac:dyDescent="0.35">
      <c r="K59"/>
      <c r="L59"/>
      <c r="M59"/>
    </row>
    <row r="60" spans="10:18" x14ac:dyDescent="0.3">
      <c r="K60" s="155" t="s">
        <v>5</v>
      </c>
      <c r="L60" s="156" t="s">
        <v>106</v>
      </c>
      <c r="M60"/>
    </row>
    <row r="61" spans="10:18" x14ac:dyDescent="0.3">
      <c r="J61"/>
      <c r="K61" s="157" t="s">
        <v>119</v>
      </c>
      <c r="L61" s="159">
        <v>5</v>
      </c>
      <c r="M61"/>
      <c r="N61"/>
      <c r="O61"/>
      <c r="P61"/>
      <c r="Q61"/>
      <c r="R61"/>
    </row>
    <row r="62" spans="10:18" x14ac:dyDescent="0.3">
      <c r="J62"/>
      <c r="K62" s="157" t="s">
        <v>120</v>
      </c>
      <c r="L62" s="159">
        <v>15</v>
      </c>
      <c r="M62"/>
      <c r="N62"/>
      <c r="O62"/>
      <c r="P62"/>
      <c r="Q62"/>
      <c r="R62"/>
    </row>
    <row r="63" spans="10:18" x14ac:dyDescent="0.3">
      <c r="K63" s="157" t="s">
        <v>121</v>
      </c>
      <c r="L63" s="159">
        <v>11</v>
      </c>
      <c r="M63"/>
    </row>
    <row r="64" spans="10:18" ht="15" thickBot="1" x14ac:dyDescent="0.35">
      <c r="K64" s="158" t="s">
        <v>122</v>
      </c>
      <c r="L64" s="160">
        <v>1</v>
      </c>
      <c r="M64"/>
    </row>
    <row r="65" spans="11:13" x14ac:dyDescent="0.3">
      <c r="K65"/>
      <c r="L65"/>
      <c r="M65"/>
    </row>
    <row r="66" spans="11:13" x14ac:dyDescent="0.3">
      <c r="K66"/>
      <c r="L66"/>
      <c r="M66"/>
    </row>
    <row r="67" spans="11:13" x14ac:dyDescent="0.3">
      <c r="K67"/>
      <c r="L67"/>
      <c r="M67"/>
    </row>
    <row r="68" spans="11:13" x14ac:dyDescent="0.3">
      <c r="K68"/>
      <c r="L68"/>
      <c r="M68"/>
    </row>
    <row r="69" spans="11:13" x14ac:dyDescent="0.3">
      <c r="K69"/>
      <c r="L69"/>
      <c r="M69"/>
    </row>
    <row r="70" spans="11:13" x14ac:dyDescent="0.3">
      <c r="K70"/>
      <c r="L70"/>
      <c r="M70"/>
    </row>
    <row r="71" spans="11:13" x14ac:dyDescent="0.3">
      <c r="K71"/>
      <c r="L71"/>
      <c r="M71"/>
    </row>
    <row r="72" spans="11:13" x14ac:dyDescent="0.3">
      <c r="K72"/>
      <c r="L72"/>
      <c r="M72"/>
    </row>
    <row r="73" spans="11:13" x14ac:dyDescent="0.3">
      <c r="K73"/>
      <c r="L73"/>
      <c r="M73"/>
    </row>
    <row r="74" spans="11:13" x14ac:dyDescent="0.3">
      <c r="K74"/>
      <c r="L74"/>
      <c r="M74"/>
    </row>
    <row r="75" spans="11:13" x14ac:dyDescent="0.3">
      <c r="K75"/>
      <c r="L75"/>
      <c r="M75"/>
    </row>
    <row r="76" spans="11:13" x14ac:dyDescent="0.3">
      <c r="K76"/>
      <c r="L76"/>
      <c r="M76"/>
    </row>
    <row r="77" spans="11:13" ht="15" thickBot="1" x14ac:dyDescent="0.35">
      <c r="K77"/>
      <c r="L77"/>
      <c r="M77"/>
    </row>
    <row r="78" spans="11:13" x14ac:dyDescent="0.3">
      <c r="K78" s="155" t="s">
        <v>123</v>
      </c>
      <c r="L78" s="156" t="s">
        <v>106</v>
      </c>
      <c r="M78"/>
    </row>
    <row r="79" spans="11:13" x14ac:dyDescent="0.3">
      <c r="K79" s="157" t="s">
        <v>8</v>
      </c>
      <c r="L79" s="159">
        <v>17</v>
      </c>
      <c r="M79"/>
    </row>
    <row r="80" spans="11:13" ht="15" thickBot="1" x14ac:dyDescent="0.35">
      <c r="K80" s="158" t="s">
        <v>7</v>
      </c>
      <c r="L80" s="160">
        <v>15</v>
      </c>
      <c r="M80"/>
    </row>
    <row r="81" spans="11:13" x14ac:dyDescent="0.3">
      <c r="K81"/>
      <c r="L81"/>
      <c r="M81"/>
    </row>
    <row r="82" spans="11:13" x14ac:dyDescent="0.3">
      <c r="K82"/>
      <c r="L82"/>
      <c r="M82"/>
    </row>
    <row r="83" spans="11:13" x14ac:dyDescent="0.3">
      <c r="K83"/>
      <c r="L83"/>
      <c r="M83"/>
    </row>
    <row r="84" spans="11:13" x14ac:dyDescent="0.3">
      <c r="K84"/>
      <c r="L84"/>
      <c r="M84"/>
    </row>
    <row r="85" spans="11:13" x14ac:dyDescent="0.3">
      <c r="K85"/>
      <c r="L85"/>
      <c r="M85"/>
    </row>
    <row r="86" spans="11:13" x14ac:dyDescent="0.3">
      <c r="K86"/>
      <c r="L86"/>
      <c r="M86"/>
    </row>
    <row r="87" spans="11:13" x14ac:dyDescent="0.3">
      <c r="K87"/>
      <c r="L87"/>
      <c r="M87"/>
    </row>
    <row r="88" spans="11:13" x14ac:dyDescent="0.3">
      <c r="K88"/>
      <c r="L88"/>
      <c r="M88"/>
    </row>
    <row r="89" spans="11:13" x14ac:dyDescent="0.3">
      <c r="K89"/>
      <c r="L89"/>
      <c r="M89"/>
    </row>
    <row r="90" spans="11:13" x14ac:dyDescent="0.3">
      <c r="K90"/>
      <c r="L90"/>
      <c r="M90"/>
    </row>
    <row r="91" spans="11:13" x14ac:dyDescent="0.3">
      <c r="K91"/>
      <c r="L91"/>
      <c r="M91"/>
    </row>
    <row r="92" spans="11:13" x14ac:dyDescent="0.3">
      <c r="K92"/>
      <c r="L92"/>
      <c r="M92"/>
    </row>
    <row r="93" spans="11:13" ht="15" thickBot="1" x14ac:dyDescent="0.35">
      <c r="K93"/>
      <c r="L93"/>
      <c r="M93"/>
    </row>
    <row r="94" spans="11:13" x14ac:dyDescent="0.3">
      <c r="K94" s="155" t="s">
        <v>124</v>
      </c>
      <c r="L94" s="156" t="s">
        <v>106</v>
      </c>
      <c r="M94"/>
    </row>
    <row r="95" spans="11:13" x14ac:dyDescent="0.3">
      <c r="K95" s="157" t="s">
        <v>8</v>
      </c>
      <c r="L95" s="159">
        <v>19</v>
      </c>
      <c r="M95"/>
    </row>
    <row r="96" spans="11:13" ht="15" thickBot="1" x14ac:dyDescent="0.35">
      <c r="K96" s="158" t="s">
        <v>7</v>
      </c>
      <c r="L96" s="160">
        <v>13</v>
      </c>
      <c r="M96"/>
    </row>
    <row r="97" spans="11:13" x14ac:dyDescent="0.3">
      <c r="K97"/>
      <c r="L97"/>
      <c r="M97"/>
    </row>
    <row r="98" spans="11:13" x14ac:dyDescent="0.3">
      <c r="K98"/>
      <c r="L98"/>
      <c r="M98"/>
    </row>
    <row r="99" spans="11:13" x14ac:dyDescent="0.3">
      <c r="K99"/>
      <c r="L99"/>
      <c r="M99"/>
    </row>
    <row r="100" spans="11:13" x14ac:dyDescent="0.3">
      <c r="K100"/>
      <c r="L100"/>
      <c r="M100"/>
    </row>
    <row r="101" spans="11:13" x14ac:dyDescent="0.3">
      <c r="K101"/>
      <c r="L101"/>
      <c r="M101"/>
    </row>
    <row r="102" spans="11:13" x14ac:dyDescent="0.3">
      <c r="K102"/>
      <c r="L102"/>
      <c r="M102"/>
    </row>
    <row r="103" spans="11:13" x14ac:dyDescent="0.3">
      <c r="K103"/>
      <c r="L103"/>
      <c r="M103"/>
    </row>
    <row r="104" spans="11:13" x14ac:dyDescent="0.3">
      <c r="K104"/>
      <c r="L104"/>
      <c r="M104"/>
    </row>
    <row r="105" spans="11:13" x14ac:dyDescent="0.3">
      <c r="K105"/>
      <c r="L105"/>
      <c r="M105"/>
    </row>
    <row r="106" spans="11:13" x14ac:dyDescent="0.3">
      <c r="K106"/>
      <c r="L106"/>
      <c r="M106"/>
    </row>
    <row r="107" spans="11:13" x14ac:dyDescent="0.3">
      <c r="K107"/>
      <c r="L107"/>
      <c r="M107"/>
    </row>
    <row r="108" spans="11:13" x14ac:dyDescent="0.3">
      <c r="K108"/>
      <c r="L108"/>
      <c r="M108"/>
    </row>
    <row r="109" spans="11:13" x14ac:dyDescent="0.3">
      <c r="K109"/>
      <c r="L109"/>
      <c r="M109"/>
    </row>
    <row r="110" spans="11:13" x14ac:dyDescent="0.3">
      <c r="K110"/>
      <c r="L110"/>
      <c r="M110"/>
    </row>
    <row r="111" spans="11:13" x14ac:dyDescent="0.3">
      <c r="K111"/>
      <c r="L111"/>
      <c r="M111"/>
    </row>
  </sheetData>
  <mergeCells count="2">
    <mergeCell ref="L3:M3"/>
    <mergeCell ref="L4:M4"/>
  </mergeCell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E74A-F521-4318-B43F-FD3FF61B9E9C}">
  <dimension ref="A1:R137"/>
  <sheetViews>
    <sheetView topLeftCell="A60" zoomScale="53" zoomScaleNormal="50" workbookViewId="0">
      <selection activeCell="J72" sqref="J72"/>
    </sheetView>
  </sheetViews>
  <sheetFormatPr defaultRowHeight="21" x14ac:dyDescent="0.4"/>
  <cols>
    <col min="1" max="1" width="40.109375" style="35" customWidth="1"/>
    <col min="2" max="2" width="41.77734375" style="35" customWidth="1"/>
    <col min="3" max="3" width="32.44140625" style="35" customWidth="1"/>
    <col min="4" max="4" width="14.109375" style="35" customWidth="1"/>
    <col min="5" max="5" width="8.88671875" style="35"/>
    <col min="6" max="6" width="18.44140625" style="35" customWidth="1"/>
    <col min="7" max="7" width="13.33203125" style="35" customWidth="1"/>
    <col min="8" max="8" width="79.109375" style="35" customWidth="1"/>
    <col min="9" max="9" width="36.88671875" style="35" customWidth="1"/>
    <col min="10" max="10" width="36.109375" style="35" customWidth="1"/>
    <col min="11" max="11" width="23.21875" style="35" customWidth="1"/>
    <col min="12" max="12" width="44" style="35" customWidth="1"/>
    <col min="13" max="13" width="35.77734375" style="35" customWidth="1"/>
    <col min="14" max="14" width="36.88671875" style="35" customWidth="1"/>
    <col min="15" max="16384" width="8.88671875" style="35"/>
  </cols>
  <sheetData>
    <row r="1" spans="1:13" ht="21.6" thickBot="1" x14ac:dyDescent="0.45"/>
    <row r="2" spans="1:13" ht="25.8" x14ac:dyDescent="0.5">
      <c r="A2" s="61" t="s">
        <v>12</v>
      </c>
      <c r="B2" s="62"/>
      <c r="C2" s="62"/>
      <c r="D2" s="62"/>
      <c r="E2" s="62"/>
      <c r="F2" s="62"/>
      <c r="G2" s="62"/>
      <c r="H2" s="62"/>
      <c r="I2" s="63"/>
      <c r="L2" s="80" t="s">
        <v>91</v>
      </c>
      <c r="M2" s="81"/>
    </row>
    <row r="3" spans="1:13" ht="21.6" thickBot="1" x14ac:dyDescent="0.45">
      <c r="A3" s="64"/>
      <c r="B3" s="39"/>
      <c r="C3" s="39"/>
      <c r="D3" s="39"/>
      <c r="E3" s="39"/>
      <c r="F3" s="39"/>
      <c r="G3" s="39"/>
      <c r="H3" s="39"/>
      <c r="I3" s="40"/>
      <c r="L3" s="82" t="s">
        <v>96</v>
      </c>
      <c r="M3" s="83">
        <f>COUNTIF(K31:K62,"Heart Disease")</f>
        <v>4</v>
      </c>
    </row>
    <row r="4" spans="1:13" x14ac:dyDescent="0.4">
      <c r="A4" s="65" t="s">
        <v>13</v>
      </c>
      <c r="B4" s="66"/>
      <c r="C4" s="39"/>
      <c r="D4" s="39"/>
      <c r="E4" s="39"/>
      <c r="F4" s="39"/>
      <c r="G4" s="39"/>
      <c r="H4" s="39"/>
      <c r="I4" s="40"/>
      <c r="L4" s="82" t="s">
        <v>97</v>
      </c>
      <c r="M4" s="83">
        <f>COUNTIF(K31:K62,"No Disease")</f>
        <v>28</v>
      </c>
    </row>
    <row r="5" spans="1:13" x14ac:dyDescent="0.4">
      <c r="A5" s="64" t="s">
        <v>14</v>
      </c>
      <c r="B5" s="39">
        <v>0.71609225072987359</v>
      </c>
      <c r="C5" s="39"/>
      <c r="D5" s="39"/>
      <c r="E5" s="39"/>
      <c r="F5" s="39"/>
      <c r="G5" s="39"/>
      <c r="H5" s="39"/>
      <c r="I5" s="40"/>
    </row>
    <row r="6" spans="1:13" ht="25.8" x14ac:dyDescent="0.5">
      <c r="A6" s="64" t="s">
        <v>15</v>
      </c>
      <c r="B6" s="39">
        <v>0.51278811155537607</v>
      </c>
      <c r="C6" s="39"/>
      <c r="D6" s="39"/>
      <c r="E6" s="39"/>
      <c r="F6" s="39"/>
      <c r="G6" s="39"/>
      <c r="H6" s="39"/>
      <c r="I6" s="40"/>
      <c r="L6" s="33"/>
    </row>
    <row r="7" spans="1:13" x14ac:dyDescent="0.4">
      <c r="A7" s="64" t="s">
        <v>16</v>
      </c>
      <c r="B7" s="39">
        <v>0.39585725832866631</v>
      </c>
      <c r="C7" s="39"/>
      <c r="D7" s="39"/>
      <c r="E7" s="39"/>
      <c r="F7" s="39"/>
      <c r="G7" s="39"/>
      <c r="H7" s="39"/>
      <c r="I7" s="40"/>
    </row>
    <row r="8" spans="1:13" x14ac:dyDescent="0.4">
      <c r="A8" s="64" t="s">
        <v>17</v>
      </c>
      <c r="B8" s="39">
        <v>0.35505784899794346</v>
      </c>
      <c r="C8" s="39"/>
      <c r="D8" s="39"/>
      <c r="E8" s="39"/>
      <c r="F8" s="39"/>
      <c r="G8" s="39"/>
      <c r="H8" s="39"/>
      <c r="I8" s="40"/>
    </row>
    <row r="9" spans="1:13" ht="21.6" thickBot="1" x14ac:dyDescent="0.45">
      <c r="A9" s="67" t="s">
        <v>18</v>
      </c>
      <c r="B9" s="37">
        <v>32</v>
      </c>
      <c r="C9" s="39"/>
      <c r="D9" s="39"/>
      <c r="E9" s="39"/>
      <c r="F9" s="39"/>
      <c r="G9" s="39"/>
      <c r="H9" s="39"/>
      <c r="I9" s="40"/>
    </row>
    <row r="10" spans="1:13" x14ac:dyDescent="0.4">
      <c r="A10" s="64"/>
      <c r="B10" s="39"/>
      <c r="C10" s="39"/>
      <c r="D10" s="39"/>
      <c r="E10" s="39"/>
      <c r="F10" s="39"/>
      <c r="G10" s="39"/>
      <c r="H10" s="39"/>
      <c r="I10" s="40"/>
    </row>
    <row r="11" spans="1:13" ht="21.6" thickBot="1" x14ac:dyDescent="0.45">
      <c r="A11" s="64" t="s">
        <v>19</v>
      </c>
      <c r="B11" s="39"/>
      <c r="C11" s="39"/>
      <c r="D11" s="39"/>
      <c r="E11" s="39"/>
      <c r="F11" s="39"/>
      <c r="G11" s="39"/>
      <c r="H11" s="39"/>
      <c r="I11" s="40"/>
    </row>
    <row r="12" spans="1:13" x14ac:dyDescent="0.4">
      <c r="A12" s="65"/>
      <c r="B12" s="66" t="s">
        <v>24</v>
      </c>
      <c r="C12" s="66" t="s">
        <v>25</v>
      </c>
      <c r="D12" s="66" t="s">
        <v>26</v>
      </c>
      <c r="E12" s="66" t="s">
        <v>27</v>
      </c>
      <c r="F12" s="66" t="s">
        <v>28</v>
      </c>
      <c r="G12" s="39"/>
      <c r="H12" s="39"/>
      <c r="I12" s="40"/>
    </row>
    <row r="13" spans="1:13" x14ac:dyDescent="0.4">
      <c r="A13" s="64" t="s">
        <v>20</v>
      </c>
      <c r="B13" s="39">
        <v>6</v>
      </c>
      <c r="C13" s="39">
        <v>3.3170980966238393</v>
      </c>
      <c r="D13" s="39">
        <v>0.55284968277063984</v>
      </c>
      <c r="E13" s="39">
        <v>4.3853961328851687</v>
      </c>
      <c r="F13" s="39">
        <v>3.6958326768000926E-3</v>
      </c>
      <c r="G13" s="39"/>
      <c r="H13" s="39"/>
      <c r="I13" s="40"/>
    </row>
    <row r="14" spans="1:13" x14ac:dyDescent="0.4">
      <c r="A14" s="64" t="s">
        <v>21</v>
      </c>
      <c r="B14" s="39">
        <v>25</v>
      </c>
      <c r="C14" s="39">
        <v>3.1516519033761607</v>
      </c>
      <c r="D14" s="39">
        <v>0.12606607613504642</v>
      </c>
      <c r="E14" s="39"/>
      <c r="F14" s="39"/>
      <c r="G14" s="39"/>
      <c r="H14" s="39"/>
      <c r="I14" s="40"/>
    </row>
    <row r="15" spans="1:13" ht="21.6" thickBot="1" x14ac:dyDescent="0.45">
      <c r="A15" s="67" t="s">
        <v>22</v>
      </c>
      <c r="B15" s="37">
        <v>31</v>
      </c>
      <c r="C15" s="37">
        <v>6.46875</v>
      </c>
      <c r="D15" s="37"/>
      <c r="E15" s="37"/>
      <c r="F15" s="37"/>
      <c r="G15" s="39"/>
      <c r="H15" s="39"/>
      <c r="I15" s="40"/>
    </row>
    <row r="16" spans="1:13" ht="21.6" thickBot="1" x14ac:dyDescent="0.45">
      <c r="A16" s="64"/>
      <c r="B16" s="39"/>
      <c r="C16" s="39"/>
      <c r="D16" s="39"/>
      <c r="E16" s="39"/>
      <c r="F16" s="39"/>
      <c r="G16" s="39"/>
      <c r="H16" s="39"/>
      <c r="I16" s="40"/>
    </row>
    <row r="17" spans="1:18" ht="28.8" x14ac:dyDescent="0.55000000000000004">
      <c r="A17" s="106"/>
      <c r="B17" s="84" t="s">
        <v>94</v>
      </c>
      <c r="C17" s="66" t="s">
        <v>17</v>
      </c>
      <c r="D17" s="66" t="s">
        <v>29</v>
      </c>
      <c r="E17" s="66" t="s">
        <v>30</v>
      </c>
      <c r="F17" s="66" t="s">
        <v>31</v>
      </c>
      <c r="G17" s="66" t="s">
        <v>32</v>
      </c>
      <c r="H17" s="66" t="s">
        <v>33</v>
      </c>
      <c r="I17" s="68" t="s">
        <v>34</v>
      </c>
    </row>
    <row r="18" spans="1:18" ht="28.8" x14ac:dyDescent="0.55000000000000004">
      <c r="A18" s="107" t="s">
        <v>23</v>
      </c>
      <c r="B18" s="85">
        <v>-2.0155937861229871</v>
      </c>
      <c r="C18" s="39">
        <v>0.80062141645491314</v>
      </c>
      <c r="D18" s="39">
        <v>-2.5175366842519318</v>
      </c>
      <c r="E18" s="39">
        <v>1.8595288843614433E-2</v>
      </c>
      <c r="F18" s="39">
        <v>-3.6645044594718339</v>
      </c>
      <c r="G18" s="39">
        <v>-0.36668311277414012</v>
      </c>
      <c r="H18" s="39">
        <v>-3.6645044594718339</v>
      </c>
      <c r="I18" s="40">
        <v>-0.36668311277414012</v>
      </c>
    </row>
    <row r="19" spans="1:18" ht="28.8" x14ac:dyDescent="0.55000000000000004">
      <c r="A19" s="107" t="s">
        <v>1</v>
      </c>
      <c r="B19" s="85">
        <v>2.0666990208500453E-2</v>
      </c>
      <c r="C19" s="39">
        <v>7.4570941944826002E-3</v>
      </c>
      <c r="D19" s="39">
        <v>2.7714535540923797</v>
      </c>
      <c r="E19" s="39">
        <v>1.0381055023822586E-2</v>
      </c>
      <c r="F19" s="39">
        <v>5.3088172234507409E-3</v>
      </c>
      <c r="G19" s="39">
        <v>3.6025163193550161E-2</v>
      </c>
      <c r="H19" s="39">
        <v>5.3088172234507409E-3</v>
      </c>
      <c r="I19" s="40">
        <v>3.6025163193550161E-2</v>
      </c>
    </row>
    <row r="20" spans="1:18" ht="28.8" x14ac:dyDescent="0.55000000000000004">
      <c r="A20" s="107" t="s">
        <v>2</v>
      </c>
      <c r="B20" s="85">
        <v>4.9901398034268522E-3</v>
      </c>
      <c r="C20" s="39">
        <v>1.525511797441299E-2</v>
      </c>
      <c r="D20" s="39">
        <v>0.32711250164021566</v>
      </c>
      <c r="E20" s="39">
        <v>0.746306023503298</v>
      </c>
      <c r="F20" s="39">
        <v>-2.6428363791676499E-2</v>
      </c>
      <c r="G20" s="39">
        <v>3.6408643398530199E-2</v>
      </c>
      <c r="H20" s="39">
        <v>-2.6428363791676499E-2</v>
      </c>
      <c r="I20" s="40">
        <v>3.6408643398530199E-2</v>
      </c>
    </row>
    <row r="21" spans="1:18" ht="28.8" x14ac:dyDescent="0.55000000000000004">
      <c r="A21" s="107" t="s">
        <v>3</v>
      </c>
      <c r="B21" s="85">
        <v>6.6079908413592793E-3</v>
      </c>
      <c r="C21" s="39">
        <v>2.1286771993632755E-2</v>
      </c>
      <c r="D21" s="39">
        <v>0.31042709732296869</v>
      </c>
      <c r="E21" s="39">
        <v>0.75880944989592525</v>
      </c>
      <c r="F21" s="39">
        <v>-3.7232936743196554E-2</v>
      </c>
      <c r="G21" s="39">
        <v>5.0448918425915118E-2</v>
      </c>
      <c r="H21" s="39">
        <v>-3.7232936743196554E-2</v>
      </c>
      <c r="I21" s="40">
        <v>5.0448918425915118E-2</v>
      </c>
    </row>
    <row r="22" spans="1:18" ht="28.8" x14ac:dyDescent="0.55000000000000004">
      <c r="A22" s="107" t="s">
        <v>4</v>
      </c>
      <c r="B22" s="85">
        <v>-5.8185521378170041E-2</v>
      </c>
      <c r="C22" s="39">
        <v>0.1329819274780604</v>
      </c>
      <c r="D22" s="39">
        <v>-0.43754457828692245</v>
      </c>
      <c r="E22" s="39">
        <v>0.66547325340407015</v>
      </c>
      <c r="F22" s="39">
        <v>-0.33206692783867853</v>
      </c>
      <c r="G22" s="39">
        <v>0.21569588508233847</v>
      </c>
      <c r="H22" s="39">
        <v>-0.33206692783867853</v>
      </c>
      <c r="I22" s="40">
        <v>0.21569588508233847</v>
      </c>
    </row>
    <row r="23" spans="1:18" ht="28.8" x14ac:dyDescent="0.55000000000000004">
      <c r="A23" s="107" t="s">
        <v>5</v>
      </c>
      <c r="B23" s="85">
        <v>1.9022687352466861E-2</v>
      </c>
      <c r="C23" s="39">
        <v>1.7798725093255651E-2</v>
      </c>
      <c r="D23" s="39">
        <v>1.0687668500298932</v>
      </c>
      <c r="E23" s="39">
        <v>0.29538630538150723</v>
      </c>
      <c r="F23" s="39">
        <v>-1.7634473166950684E-2</v>
      </c>
      <c r="G23" s="39">
        <v>5.5679847871884403E-2</v>
      </c>
      <c r="H23" s="39">
        <v>-1.7634473166950684E-2</v>
      </c>
      <c r="I23" s="40">
        <v>5.5679847871884403E-2</v>
      </c>
    </row>
    <row r="24" spans="1:18" ht="29.4" thickBot="1" x14ac:dyDescent="0.6">
      <c r="A24" s="108" t="s">
        <v>6</v>
      </c>
      <c r="B24" s="86">
        <v>0.2015369864278436</v>
      </c>
      <c r="C24" s="37">
        <v>0.13298488993536994</v>
      </c>
      <c r="D24" s="37">
        <v>1.5154878612584457</v>
      </c>
      <c r="E24" s="37">
        <v>0.14219182894302615</v>
      </c>
      <c r="F24" s="37">
        <v>-7.2350521327704781E-2</v>
      </c>
      <c r="G24" s="37">
        <v>0.47542449418339194</v>
      </c>
      <c r="H24" s="37">
        <v>-7.2350521327704781E-2</v>
      </c>
      <c r="I24" s="38">
        <v>0.47542449418339194</v>
      </c>
    </row>
    <row r="25" spans="1:18" ht="52.2" customHeight="1" thickBot="1" x14ac:dyDescent="0.65">
      <c r="A25" s="131" t="s">
        <v>37</v>
      </c>
      <c r="B25" s="132"/>
      <c r="C25" s="132"/>
      <c r="D25" s="133"/>
      <c r="E25" s="87">
        <v>0.75</v>
      </c>
      <c r="F25" s="37"/>
      <c r="G25" s="37"/>
      <c r="H25" s="37"/>
      <c r="I25" s="38"/>
    </row>
    <row r="28" spans="1:18" ht="21.6" thickBot="1" x14ac:dyDescent="0.45"/>
    <row r="29" spans="1:18" x14ac:dyDescent="0.4">
      <c r="A29" s="69" t="s">
        <v>40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1"/>
      <c r="O29" s="39"/>
      <c r="P29" s="39"/>
      <c r="Q29" s="39"/>
      <c r="R29" s="39"/>
    </row>
    <row r="30" spans="1:18" x14ac:dyDescent="0.4">
      <c r="A30" s="60" t="s">
        <v>0</v>
      </c>
      <c r="B30" s="72" t="s">
        <v>1</v>
      </c>
      <c r="C30" s="72" t="s">
        <v>2</v>
      </c>
      <c r="D30" s="72" t="s">
        <v>3</v>
      </c>
      <c r="E30" s="72" t="s">
        <v>4</v>
      </c>
      <c r="F30" s="72" t="s">
        <v>5</v>
      </c>
      <c r="G30" s="72" t="s">
        <v>6</v>
      </c>
      <c r="H30" s="72" t="s">
        <v>35</v>
      </c>
      <c r="I30" s="72" t="s">
        <v>36</v>
      </c>
      <c r="J30" s="72" t="s">
        <v>38</v>
      </c>
      <c r="K30" s="72" t="s">
        <v>11</v>
      </c>
      <c r="L30" s="72" t="s">
        <v>58</v>
      </c>
      <c r="M30" s="72" t="s">
        <v>39</v>
      </c>
      <c r="N30" s="73" t="s">
        <v>59</v>
      </c>
      <c r="O30" s="39"/>
      <c r="P30" s="39"/>
      <c r="Q30" s="39"/>
      <c r="R30" s="39"/>
    </row>
    <row r="31" spans="1:18" x14ac:dyDescent="0.4">
      <c r="A31" s="64">
        <v>1</v>
      </c>
      <c r="B31" s="39">
        <v>45</v>
      </c>
      <c r="C31" s="39">
        <v>130</v>
      </c>
      <c r="D31" s="39">
        <v>85</v>
      </c>
      <c r="E31" s="39">
        <f>IF(ACTUAL_DATASET!E2="Yes", 1,0)</f>
        <v>1</v>
      </c>
      <c r="F31" s="39">
        <v>28.5</v>
      </c>
      <c r="G31" s="39">
        <f>IF(ACTUAL_DATASET!G2="Yes",1,0)</f>
        <v>0</v>
      </c>
      <c r="H31" s="39" cm="1">
        <f t="array" ref="H31">'LOGISTIC_REGRESSION&amp;EVALUATION'!$B$18+SUMPRODUCT( B31:G31, TRANSPOSE('LOGISTIC_REGRESSION&amp;EVALUATION'!$B$19:$B$24))</f>
        <v>0.60877923738769857</v>
      </c>
      <c r="I31" s="39">
        <f t="shared" ref="I31:I62" si="0">1/(1+EXP(-H31))</f>
        <v>0.64766227935841569</v>
      </c>
      <c r="J31" s="39">
        <f>IF(ACTUAL_DATASET!H2="Heart Disease", 1,0)</f>
        <v>1</v>
      </c>
      <c r="K31" s="39" t="str">
        <f>IF(I31&gt;=0.75, "Heart Disease","No Disease")</f>
        <v>No Disease</v>
      </c>
      <c r="L31" s="39">
        <f>IF(I31&gt;=0.75,1,0)</f>
        <v>0</v>
      </c>
      <c r="M31" s="39" t="s">
        <v>9</v>
      </c>
      <c r="N31" s="40" t="str">
        <f t="shared" ref="N31:N62" si="1">IF(K31=M31,"Yes-1","No-0")</f>
        <v>No-0</v>
      </c>
      <c r="O31" s="39"/>
      <c r="P31" s="39"/>
      <c r="Q31" s="39"/>
      <c r="R31" s="39"/>
    </row>
    <row r="32" spans="1:18" x14ac:dyDescent="0.4">
      <c r="A32" s="64">
        <v>2</v>
      </c>
      <c r="B32" s="39">
        <v>60</v>
      </c>
      <c r="C32" s="39">
        <v>150</v>
      </c>
      <c r="D32" s="39">
        <v>95</v>
      </c>
      <c r="E32" s="39">
        <f>IF(ACTUAL_DATASET!E3="Yes", 1,0)</f>
        <v>1</v>
      </c>
      <c r="F32" s="39">
        <v>31.2</v>
      </c>
      <c r="G32" s="39">
        <f>IF(ACTUAL_DATASET!G3="Yes",1,0)</f>
        <v>1</v>
      </c>
      <c r="H32" s="39" cm="1">
        <f t="array" ref="H32">'LOGISTIC_REGRESSION&amp;EVALUATION'!$B$18+SUMPRODUCT( B32:G32, TRANSPOSE('LOGISTIC_REGRESSION&amp;EVALUATION'!$B$19:$B$24))</f>
        <v>1.3375650372768395</v>
      </c>
      <c r="I32" s="39">
        <f t="shared" si="0"/>
        <v>0.79208922752004685</v>
      </c>
      <c r="J32" s="39">
        <f>IF(ACTUAL_DATASET!H3="Heart Disease", 1,0)</f>
        <v>1</v>
      </c>
      <c r="K32" s="39" t="str">
        <f t="shared" ref="K32:K62" si="2">IF(I32&gt;=0.75, "Heart Disease","No Disease")</f>
        <v>Heart Disease</v>
      </c>
      <c r="L32" s="39">
        <f t="shared" ref="L32:L62" si="3">IF(I32&gt;=0.75,1,0)</f>
        <v>1</v>
      </c>
      <c r="M32" s="39" t="s">
        <v>9</v>
      </c>
      <c r="N32" s="40" t="str">
        <f t="shared" si="1"/>
        <v>Yes-1</v>
      </c>
      <c r="O32" s="39"/>
      <c r="P32" s="39"/>
      <c r="Q32" s="39"/>
      <c r="R32" s="39"/>
    </row>
    <row r="33" spans="1:18" x14ac:dyDescent="0.4">
      <c r="A33" s="64">
        <v>3</v>
      </c>
      <c r="B33" s="39">
        <v>35</v>
      </c>
      <c r="C33" s="39">
        <v>120</v>
      </c>
      <c r="D33" s="39">
        <v>80</v>
      </c>
      <c r="E33" s="39">
        <f>IF(ACTUAL_DATASET!E4="Yes", 1,0)</f>
        <v>0</v>
      </c>
      <c r="F33" s="39">
        <v>24.1</v>
      </c>
      <c r="G33" s="39">
        <f>IF(ACTUAL_DATASET!G4="Yes",1,0)</f>
        <v>0</v>
      </c>
      <c r="H33" s="39" cm="1">
        <f t="array" ref="H33">'LOGISTIC_REGRESSION&amp;EVALUATION'!$B$18+SUMPRODUCT( B33:G33, TRANSPOSE('LOGISTIC_REGRESSION&amp;EVALUATION'!$B$19:$B$24))</f>
        <v>0.29365368008894466</v>
      </c>
      <c r="I33" s="39">
        <f t="shared" si="0"/>
        <v>0.57289037808396226</v>
      </c>
      <c r="J33" s="39">
        <f>IF(ACTUAL_DATASET!H4="Heart Disease", 1,0)</f>
        <v>0</v>
      </c>
      <c r="K33" s="39" t="str">
        <f t="shared" si="2"/>
        <v>No Disease</v>
      </c>
      <c r="L33" s="39">
        <f t="shared" si="3"/>
        <v>0</v>
      </c>
      <c r="M33" s="39" t="s">
        <v>10</v>
      </c>
      <c r="N33" s="40" t="str">
        <f t="shared" si="1"/>
        <v>Yes-1</v>
      </c>
      <c r="O33" s="39"/>
      <c r="P33" s="39"/>
      <c r="Q33" s="39"/>
      <c r="R33" s="39"/>
    </row>
    <row r="34" spans="1:18" x14ac:dyDescent="0.4">
      <c r="A34" s="64">
        <v>4</v>
      </c>
      <c r="B34" s="39">
        <v>50</v>
      </c>
      <c r="C34" s="39">
        <v>140</v>
      </c>
      <c r="D34" s="39">
        <v>90</v>
      </c>
      <c r="E34" s="39">
        <f>IF(ACTUAL_DATASET!E5="Yes", 1,0)</f>
        <v>1</v>
      </c>
      <c r="F34" s="39">
        <v>29.8</v>
      </c>
      <c r="G34" s="39">
        <f>IF(ACTUAL_DATASET!G5="Yes",1,0)</f>
        <v>0</v>
      </c>
      <c r="H34" s="39" cm="1">
        <f t="array" ref="H34">'LOGISTIC_REGRESSION&amp;EVALUATION'!$B$18+SUMPRODUCT( B34:G34, TRANSPOSE('LOGISTIC_REGRESSION&amp;EVALUATION'!$B$19:$B$24))</f>
        <v>0.81978503422947213</v>
      </c>
      <c r="I34" s="39">
        <f t="shared" si="0"/>
        <v>0.69419070693629914</v>
      </c>
      <c r="J34" s="39">
        <f>IF(ACTUAL_DATASET!H5="Heart Disease", 1,0)</f>
        <v>1</v>
      </c>
      <c r="K34" s="39" t="str">
        <f t="shared" si="2"/>
        <v>No Disease</v>
      </c>
      <c r="L34" s="39">
        <f t="shared" si="3"/>
        <v>0</v>
      </c>
      <c r="M34" s="39" t="s">
        <v>9</v>
      </c>
      <c r="N34" s="40" t="str">
        <f t="shared" si="1"/>
        <v>No-0</v>
      </c>
      <c r="O34" s="39"/>
      <c r="P34" s="39"/>
      <c r="Q34" s="39"/>
      <c r="R34" s="39"/>
    </row>
    <row r="35" spans="1:18" x14ac:dyDescent="0.4">
      <c r="A35" s="64">
        <v>5</v>
      </c>
      <c r="B35" s="39">
        <v>28</v>
      </c>
      <c r="C35" s="39">
        <v>110</v>
      </c>
      <c r="D35" s="39">
        <v>70</v>
      </c>
      <c r="E35" s="39">
        <f>IF(ACTUAL_DATASET!E6="Yes", 1,0)</f>
        <v>0</v>
      </c>
      <c r="F35" s="39">
        <v>22.5</v>
      </c>
      <c r="G35" s="39">
        <f>IF(ACTUAL_DATASET!G6="Yes",1,0)</f>
        <v>0</v>
      </c>
      <c r="H35" s="39" cm="1">
        <f t="array" ref="H35">'LOGISTIC_REGRESSION&amp;EVALUATION'!$B$18+SUMPRODUCT( B35:G35, TRANSPOSE('LOGISTIC_REGRESSION&amp;EVALUATION'!$B$19:$B$24))</f>
        <v>2.567142417633228E-3</v>
      </c>
      <c r="I35" s="39">
        <f t="shared" si="0"/>
        <v>0.50064178525194947</v>
      </c>
      <c r="J35" s="39">
        <f>IF(ACTUAL_DATASET!H6="Heart Disease", 1,0)</f>
        <v>0</v>
      </c>
      <c r="K35" s="39" t="str">
        <f t="shared" si="2"/>
        <v>No Disease</v>
      </c>
      <c r="L35" s="39">
        <f t="shared" si="3"/>
        <v>0</v>
      </c>
      <c r="M35" s="39" t="s">
        <v>10</v>
      </c>
      <c r="N35" s="40" t="str">
        <f t="shared" si="1"/>
        <v>Yes-1</v>
      </c>
      <c r="O35" s="39"/>
      <c r="P35" s="39"/>
      <c r="Q35" s="39"/>
      <c r="R35" s="39"/>
    </row>
    <row r="36" spans="1:18" x14ac:dyDescent="0.4">
      <c r="A36" s="64">
        <v>6</v>
      </c>
      <c r="B36" s="39">
        <v>53</v>
      </c>
      <c r="C36" s="39">
        <v>125</v>
      </c>
      <c r="D36" s="39">
        <v>79</v>
      </c>
      <c r="E36" s="39">
        <f>IF(ACTUAL_DATASET!E7="Yes", 1,0)</f>
        <v>0</v>
      </c>
      <c r="F36" s="39">
        <v>26.4</v>
      </c>
      <c r="G36" s="39">
        <f>IF(ACTUAL_DATASET!G7="Yes",1,0)</f>
        <v>0</v>
      </c>
      <c r="H36" s="39" cm="1">
        <f t="array" ref="H36">'LOGISTIC_REGRESSION&amp;EVALUATION'!$B$18+SUMPRODUCT( B36:G36, TRANSPOSE('LOGISTIC_REGRESSION&amp;EVALUATION'!$B$19:$B$24))</f>
        <v>0.72775439292840094</v>
      </c>
      <c r="I36" s="39">
        <f t="shared" si="0"/>
        <v>0.67431229625997613</v>
      </c>
      <c r="J36" s="39">
        <f>IF(ACTUAL_DATASET!H7="Heart Disease", 1,0)</f>
        <v>1</v>
      </c>
      <c r="K36" s="39" t="str">
        <f t="shared" si="2"/>
        <v>No Disease</v>
      </c>
      <c r="L36" s="39">
        <f t="shared" si="3"/>
        <v>0</v>
      </c>
      <c r="M36" s="39" t="s">
        <v>9</v>
      </c>
      <c r="N36" s="40" t="str">
        <f t="shared" si="1"/>
        <v>No-0</v>
      </c>
      <c r="O36" s="39"/>
      <c r="P36" s="39"/>
      <c r="Q36" s="39"/>
      <c r="R36" s="39"/>
    </row>
    <row r="37" spans="1:18" x14ac:dyDescent="0.4">
      <c r="A37" s="64">
        <v>7</v>
      </c>
      <c r="B37" s="39">
        <v>51</v>
      </c>
      <c r="C37" s="39">
        <v>120</v>
      </c>
      <c r="D37" s="39">
        <v>74</v>
      </c>
      <c r="E37" s="39">
        <f>IF(ACTUAL_DATASET!E8="Yes", 1,0)</f>
        <v>0</v>
      </c>
      <c r="F37" s="39">
        <v>31</v>
      </c>
      <c r="G37" s="39">
        <f>IF(ACTUAL_DATASET!G8="Yes",1,0)</f>
        <v>1</v>
      </c>
      <c r="H37" s="39" cm="1">
        <f t="array" ref="H37">'LOGISTIC_REGRESSION&amp;EVALUATION'!$B$18+SUMPRODUCT( B37:G37, TRANSPOSE('LOGISTIC_REGRESSION&amp;EVALUATION'!$B$19:$B$24))</f>
        <v>0.91747110753666172</v>
      </c>
      <c r="I37" s="39">
        <f t="shared" si="0"/>
        <v>0.71452654633460966</v>
      </c>
      <c r="J37" s="39">
        <f>IF(ACTUAL_DATASET!H8="Heart Disease", 1,0)</f>
        <v>1</v>
      </c>
      <c r="K37" s="39" t="str">
        <f t="shared" si="2"/>
        <v>No Disease</v>
      </c>
      <c r="L37" s="39">
        <f t="shared" si="3"/>
        <v>0</v>
      </c>
      <c r="M37" s="39" t="s">
        <v>9</v>
      </c>
      <c r="N37" s="40" t="str">
        <f t="shared" si="1"/>
        <v>No-0</v>
      </c>
      <c r="O37" s="39"/>
      <c r="P37" s="39"/>
      <c r="Q37" s="39"/>
      <c r="R37" s="39"/>
    </row>
    <row r="38" spans="1:18" x14ac:dyDescent="0.4">
      <c r="A38" s="64">
        <v>8</v>
      </c>
      <c r="B38" s="39">
        <v>50</v>
      </c>
      <c r="C38" s="39">
        <v>114</v>
      </c>
      <c r="D38" s="39">
        <v>74</v>
      </c>
      <c r="E38" s="39">
        <f>IF(ACTUAL_DATASET!E9="Yes", 1,0)</f>
        <v>0</v>
      </c>
      <c r="F38" s="39">
        <v>19.3</v>
      </c>
      <c r="G38" s="39">
        <f>IF(ACTUAL_DATASET!G9="Yes",1,0)</f>
        <v>1</v>
      </c>
      <c r="H38" s="39" cm="1">
        <f t="array" ref="H38">'LOGISTIC_REGRESSION&amp;EVALUATION'!$B$18+SUMPRODUCT( B38:G38, TRANSPOSE('LOGISTIC_REGRESSION&amp;EVALUATION'!$B$19:$B$24))</f>
        <v>0.64429783648373773</v>
      </c>
      <c r="I38" s="39">
        <f t="shared" si="0"/>
        <v>0.65572434518144418</v>
      </c>
      <c r="J38" s="39">
        <f>IF(ACTUAL_DATASET!H9="Heart Disease", 1,0)</f>
        <v>1</v>
      </c>
      <c r="K38" s="39" t="str">
        <f t="shared" si="2"/>
        <v>No Disease</v>
      </c>
      <c r="L38" s="39">
        <f t="shared" si="3"/>
        <v>0</v>
      </c>
      <c r="M38" s="39" t="s">
        <v>9</v>
      </c>
      <c r="N38" s="40" t="str">
        <f t="shared" si="1"/>
        <v>No-0</v>
      </c>
      <c r="O38" s="39"/>
      <c r="P38" s="39"/>
      <c r="Q38" s="39"/>
      <c r="R38" s="39"/>
    </row>
    <row r="39" spans="1:18" x14ac:dyDescent="0.4">
      <c r="A39" s="64">
        <v>9</v>
      </c>
      <c r="B39" s="39">
        <v>39</v>
      </c>
      <c r="C39" s="39">
        <v>153</v>
      </c>
      <c r="D39" s="39">
        <v>99</v>
      </c>
      <c r="E39" s="39">
        <f>IF(ACTUAL_DATASET!E10="Yes", 1,0)</f>
        <v>0</v>
      </c>
      <c r="F39" s="39">
        <v>18.399999999999999</v>
      </c>
      <c r="G39" s="39">
        <f>IF(ACTUAL_DATASET!G10="Yes",1,0)</f>
        <v>1</v>
      </c>
      <c r="H39" s="39" cm="1">
        <f t="array" ref="H39">'LOGISTIC_REGRESSION&amp;EVALUATION'!$B$18+SUMPRODUCT( B39:G39, TRANSPOSE('LOGISTIC_REGRESSION&amp;EVALUATION'!$B$19:$B$24))</f>
        <v>0.75965574894064192</v>
      </c>
      <c r="I39" s="39">
        <f t="shared" si="0"/>
        <v>0.6812789884924253</v>
      </c>
      <c r="J39" s="39">
        <f>IF(ACTUAL_DATASET!H10="Heart Disease", 1,0)</f>
        <v>1</v>
      </c>
      <c r="K39" s="39" t="str">
        <f t="shared" si="2"/>
        <v>No Disease</v>
      </c>
      <c r="L39" s="39">
        <f t="shared" si="3"/>
        <v>0</v>
      </c>
      <c r="M39" s="39" t="s">
        <v>9</v>
      </c>
      <c r="N39" s="40" t="str">
        <f t="shared" si="1"/>
        <v>No-0</v>
      </c>
      <c r="O39" s="39"/>
      <c r="P39" s="39"/>
      <c r="Q39" s="39"/>
      <c r="R39" s="39"/>
    </row>
    <row r="40" spans="1:18" x14ac:dyDescent="0.4">
      <c r="A40" s="64">
        <v>10</v>
      </c>
      <c r="B40" s="39">
        <v>34</v>
      </c>
      <c r="C40" s="39">
        <v>123</v>
      </c>
      <c r="D40" s="39">
        <v>77</v>
      </c>
      <c r="E40" s="39">
        <f>IF(ACTUAL_DATASET!E11="Yes", 1,0)</f>
        <v>1</v>
      </c>
      <c r="F40" s="39">
        <v>28.5</v>
      </c>
      <c r="G40" s="39">
        <f>IF(ACTUAL_DATASET!G11="Yes",1,0)</f>
        <v>0</v>
      </c>
      <c r="H40" s="39" cm="1">
        <f t="array" ref="H40">'LOGISTIC_REGRESSION&amp;EVALUATION'!$B$18+SUMPRODUCT( B40:G40, TRANSPOSE('LOGISTIC_REGRESSION&amp;EVALUATION'!$B$19:$B$24))</f>
        <v>0.29364743973933072</v>
      </c>
      <c r="I40" s="39">
        <f t="shared" si="0"/>
        <v>0.57288885115088672</v>
      </c>
      <c r="J40" s="39">
        <f>IF(ACTUAL_DATASET!H11="Heart Disease", 1,0)</f>
        <v>0</v>
      </c>
      <c r="K40" s="39" t="str">
        <f t="shared" si="2"/>
        <v>No Disease</v>
      </c>
      <c r="L40" s="39">
        <f t="shared" si="3"/>
        <v>0</v>
      </c>
      <c r="M40" s="39" t="s">
        <v>10</v>
      </c>
      <c r="N40" s="40" t="str">
        <f t="shared" si="1"/>
        <v>Yes-1</v>
      </c>
      <c r="O40" s="39"/>
      <c r="P40" s="39"/>
      <c r="Q40" s="39"/>
      <c r="R40" s="39"/>
    </row>
    <row r="41" spans="1:18" x14ac:dyDescent="0.4">
      <c r="A41" s="64">
        <v>11</v>
      </c>
      <c r="B41" s="39">
        <v>35</v>
      </c>
      <c r="C41" s="39">
        <v>118</v>
      </c>
      <c r="D41" s="39">
        <v>77</v>
      </c>
      <c r="E41" s="39">
        <f>IF(ACTUAL_DATASET!E12="Yes", 1,0)</f>
        <v>0</v>
      </c>
      <c r="F41" s="39">
        <v>26.4</v>
      </c>
      <c r="G41" s="39">
        <f>IF(ACTUAL_DATASET!G12="Yes",1,0)</f>
        <v>1</v>
      </c>
      <c r="H41" s="39" cm="1">
        <f t="array" ref="H41">'LOGISTIC_REGRESSION&amp;EVALUATION'!$B$18+SUMPRODUCT( B41:G41, TRANSPOSE('LOGISTIC_REGRESSION&amp;EVALUATION'!$B$19:$B$24))</f>
        <v>0.50913859529653083</v>
      </c>
      <c r="I41" s="39">
        <f t="shared" si="0"/>
        <v>0.62460451939788786</v>
      </c>
      <c r="J41" s="39">
        <f>IF(ACTUAL_DATASET!H12="Heart Disease", 1,0)</f>
        <v>0</v>
      </c>
      <c r="K41" s="39" t="str">
        <f t="shared" si="2"/>
        <v>No Disease</v>
      </c>
      <c r="L41" s="39">
        <f t="shared" si="3"/>
        <v>0</v>
      </c>
      <c r="M41" s="39" t="s">
        <v>10</v>
      </c>
      <c r="N41" s="40" t="str">
        <f t="shared" si="1"/>
        <v>Yes-1</v>
      </c>
      <c r="O41" s="39"/>
      <c r="P41" s="39"/>
      <c r="Q41" s="39"/>
      <c r="R41" s="39"/>
    </row>
    <row r="42" spans="1:18" x14ac:dyDescent="0.4">
      <c r="A42" s="64">
        <v>12</v>
      </c>
      <c r="B42" s="39">
        <v>50</v>
      </c>
      <c r="C42" s="39">
        <v>135</v>
      </c>
      <c r="D42" s="39">
        <v>87</v>
      </c>
      <c r="E42" s="39">
        <f>IF(ACTUAL_DATASET!E13="Yes", 1,0)</f>
        <v>0</v>
      </c>
      <c r="F42" s="39">
        <v>19.2</v>
      </c>
      <c r="G42" s="39">
        <f>IF(ACTUAL_DATASET!G13="Yes",1,0)</f>
        <v>1</v>
      </c>
      <c r="H42" s="39" cm="1">
        <f t="array" ref="H42">'LOGISTIC_REGRESSION&amp;EVALUATION'!$B$18+SUMPRODUCT( B42:G42, TRANSPOSE('LOGISTIC_REGRESSION&amp;EVALUATION'!$B$19:$B$24))</f>
        <v>0.83309238455812507</v>
      </c>
      <c r="I42" s="39">
        <f t="shared" si="0"/>
        <v>0.69700840096578287</v>
      </c>
      <c r="J42" s="39">
        <f>IF(ACTUAL_DATASET!H13="Heart Disease", 1,0)</f>
        <v>1</v>
      </c>
      <c r="K42" s="39" t="str">
        <f t="shared" si="2"/>
        <v>No Disease</v>
      </c>
      <c r="L42" s="39">
        <f t="shared" si="3"/>
        <v>0</v>
      </c>
      <c r="M42" s="39" t="s">
        <v>9</v>
      </c>
      <c r="N42" s="40" t="str">
        <f t="shared" si="1"/>
        <v>No-0</v>
      </c>
      <c r="O42" s="39"/>
      <c r="P42" s="39"/>
      <c r="Q42" s="39"/>
      <c r="R42" s="39"/>
    </row>
    <row r="43" spans="1:18" x14ac:dyDescent="0.4">
      <c r="A43" s="64">
        <v>13</v>
      </c>
      <c r="B43" s="39">
        <v>35</v>
      </c>
      <c r="C43" s="39">
        <v>114</v>
      </c>
      <c r="D43" s="39">
        <v>69</v>
      </c>
      <c r="E43" s="39">
        <f>IF(ACTUAL_DATASET!E14="Yes", 1,0)</f>
        <v>1</v>
      </c>
      <c r="F43" s="39">
        <v>20.7</v>
      </c>
      <c r="G43" s="39">
        <f>IF(ACTUAL_DATASET!G14="Yes",1,0)</f>
        <v>0</v>
      </c>
      <c r="H43" s="39" cm="1">
        <f t="array" ref="H43">'LOGISTIC_REGRESSION&amp;EVALUATION'!$B$18+SUMPRODUCT( B43:G43, TRANSPOSE('LOGISTIC_REGRESSION&amp;EVALUATION'!$B$19:$B$24))</f>
        <v>6.8162283636874044E-2</v>
      </c>
      <c r="I43" s="39">
        <f t="shared" si="0"/>
        <v>0.51703397629446879</v>
      </c>
      <c r="J43" s="39">
        <f>IF(ACTUAL_DATASET!H14="Heart Disease", 1,0)</f>
        <v>0</v>
      </c>
      <c r="K43" s="39" t="str">
        <f t="shared" si="2"/>
        <v>No Disease</v>
      </c>
      <c r="L43" s="39">
        <f t="shared" si="3"/>
        <v>0</v>
      </c>
      <c r="M43" s="39" t="s">
        <v>10</v>
      </c>
      <c r="N43" s="40" t="str">
        <f t="shared" si="1"/>
        <v>Yes-1</v>
      </c>
      <c r="O43" s="39"/>
      <c r="P43" s="39"/>
      <c r="Q43" s="39"/>
      <c r="R43" s="39"/>
    </row>
    <row r="44" spans="1:18" x14ac:dyDescent="0.4">
      <c r="A44" s="64">
        <v>14</v>
      </c>
      <c r="B44" s="39">
        <v>51</v>
      </c>
      <c r="C44" s="39">
        <v>129</v>
      </c>
      <c r="D44" s="39">
        <v>85</v>
      </c>
      <c r="E44" s="39">
        <f>IF(ACTUAL_DATASET!E15="Yes", 1,0)</f>
        <v>1</v>
      </c>
      <c r="F44" s="39">
        <v>25.5</v>
      </c>
      <c r="G44" s="39">
        <f>IF(ACTUAL_DATASET!G15="Yes",1,0)</f>
        <v>0</v>
      </c>
      <c r="H44" s="39" cm="1">
        <f t="array" ref="H44">'LOGISTIC_REGRESSION&amp;EVALUATION'!$B$18+SUMPRODUCT( B44:G44, TRANSPOSE('LOGISTIC_REGRESSION&amp;EVALUATION'!$B$19:$B$24))</f>
        <v>0.67072297677787374</v>
      </c>
      <c r="I44" s="39">
        <f t="shared" si="0"/>
        <v>0.66166502689139417</v>
      </c>
      <c r="J44" s="39">
        <f>IF(ACTUAL_DATASET!H15="Heart Disease", 1,0)</f>
        <v>1</v>
      </c>
      <c r="K44" s="39" t="str">
        <f t="shared" si="2"/>
        <v>No Disease</v>
      </c>
      <c r="L44" s="39">
        <f t="shared" si="3"/>
        <v>0</v>
      </c>
      <c r="M44" s="39" t="s">
        <v>9</v>
      </c>
      <c r="N44" s="40" t="str">
        <f t="shared" si="1"/>
        <v>No-0</v>
      </c>
      <c r="O44" s="39"/>
      <c r="P44" s="39"/>
      <c r="Q44" s="39"/>
      <c r="R44" s="39"/>
    </row>
    <row r="45" spans="1:18" x14ac:dyDescent="0.4">
      <c r="A45" s="64">
        <v>15</v>
      </c>
      <c r="B45" s="39">
        <v>54</v>
      </c>
      <c r="C45" s="39">
        <v>126</v>
      </c>
      <c r="D45" s="39">
        <v>78</v>
      </c>
      <c r="E45" s="39">
        <f>IF(ACTUAL_DATASET!E16="Yes", 1,0)</f>
        <v>0</v>
      </c>
      <c r="F45" s="39">
        <v>30.6</v>
      </c>
      <c r="G45" s="39">
        <f>IF(ACTUAL_DATASET!G16="Yes",1,0)</f>
        <v>0</v>
      </c>
      <c r="H45" s="39" cm="1">
        <f t="array" ref="H45">'LOGISTIC_REGRESSION&amp;EVALUATION'!$B$18+SUMPRODUCT( B45:G45, TRANSPOSE('LOGISTIC_REGRESSION&amp;EVALUATION'!$B$19:$B$24))</f>
        <v>0.82669881897933095</v>
      </c>
      <c r="I45" s="39">
        <f t="shared" si="0"/>
        <v>0.69565646034034523</v>
      </c>
      <c r="J45" s="39">
        <f>IF(ACTUAL_DATASET!H16="Heart Disease", 1,0)</f>
        <v>1</v>
      </c>
      <c r="K45" s="39" t="str">
        <f t="shared" si="2"/>
        <v>No Disease</v>
      </c>
      <c r="L45" s="39">
        <f t="shared" si="3"/>
        <v>0</v>
      </c>
      <c r="M45" s="39" t="s">
        <v>9</v>
      </c>
      <c r="N45" s="40" t="str">
        <f t="shared" si="1"/>
        <v>No-0</v>
      </c>
      <c r="O45" s="39"/>
      <c r="P45" s="39"/>
      <c r="Q45" s="39"/>
      <c r="R45" s="39"/>
    </row>
    <row r="46" spans="1:18" x14ac:dyDescent="0.4">
      <c r="A46" s="64">
        <v>16</v>
      </c>
      <c r="B46" s="39">
        <v>51</v>
      </c>
      <c r="C46" s="39">
        <v>124</v>
      </c>
      <c r="D46" s="39">
        <v>74</v>
      </c>
      <c r="E46" s="39">
        <f>IF(ACTUAL_DATASET!E17="Yes", 1,0)</f>
        <v>1</v>
      </c>
      <c r="F46" s="39">
        <v>30.9</v>
      </c>
      <c r="G46" s="39">
        <f>IF(ACTUAL_DATASET!G17="Yes",1,0)</f>
        <v>1</v>
      </c>
      <c r="H46" s="39" cm="1">
        <f t="array" ref="H46">'LOGISTIC_REGRESSION&amp;EVALUATION'!$B$18+SUMPRODUCT( B46:G46, TRANSPOSE('LOGISTIC_REGRESSION&amp;EVALUATION'!$B$19:$B$24))</f>
        <v>0.87734387663695212</v>
      </c>
      <c r="I46" s="39">
        <f t="shared" si="0"/>
        <v>0.70627150486520063</v>
      </c>
      <c r="J46" s="39">
        <f>IF(ACTUAL_DATASET!H17="Heart Disease", 1,0)</f>
        <v>1</v>
      </c>
      <c r="K46" s="39" t="str">
        <f t="shared" si="2"/>
        <v>No Disease</v>
      </c>
      <c r="L46" s="39">
        <f t="shared" si="3"/>
        <v>0</v>
      </c>
      <c r="M46" s="39" t="s">
        <v>9</v>
      </c>
      <c r="N46" s="40" t="str">
        <f t="shared" si="1"/>
        <v>No-0</v>
      </c>
      <c r="O46" s="39"/>
      <c r="P46" s="39"/>
      <c r="Q46" s="39"/>
      <c r="R46" s="39"/>
    </row>
    <row r="47" spans="1:18" x14ac:dyDescent="0.4">
      <c r="A47" s="64">
        <v>17</v>
      </c>
      <c r="B47" s="39">
        <v>58</v>
      </c>
      <c r="C47" s="39">
        <v>138</v>
      </c>
      <c r="D47" s="39">
        <v>93</v>
      </c>
      <c r="E47" s="39">
        <f>IF(ACTUAL_DATASET!E18="Yes", 1,0)</f>
        <v>0</v>
      </c>
      <c r="F47" s="39">
        <v>28.2</v>
      </c>
      <c r="G47" s="39">
        <f>IF(ACTUAL_DATASET!G18="Yes",1,0)</f>
        <v>1</v>
      </c>
      <c r="H47" s="39" cm="1">
        <f t="array" ref="H47">'LOGISTIC_REGRESSION&amp;EVALUATION'!$B$18+SUMPRODUCT( B47:G47, TRANSPOSE('LOGISTIC_REGRESSION&amp;EVALUATION'!$B$19:$B$24))</f>
        <v>1.2242508568567669</v>
      </c>
      <c r="I47" s="39">
        <f t="shared" si="0"/>
        <v>0.77281075600226634</v>
      </c>
      <c r="J47" s="39">
        <f>IF(ACTUAL_DATASET!H18="Heart Disease", 1,0)</f>
        <v>1</v>
      </c>
      <c r="K47" s="39" t="str">
        <f t="shared" si="2"/>
        <v>Heart Disease</v>
      </c>
      <c r="L47" s="39">
        <f t="shared" si="3"/>
        <v>1</v>
      </c>
      <c r="M47" s="39" t="s">
        <v>9</v>
      </c>
      <c r="N47" s="40" t="str">
        <f t="shared" si="1"/>
        <v>Yes-1</v>
      </c>
      <c r="O47" s="39"/>
      <c r="P47" s="39"/>
      <c r="Q47" s="39"/>
      <c r="R47" s="39"/>
    </row>
    <row r="48" spans="1:18" x14ac:dyDescent="0.4">
      <c r="A48" s="64">
        <v>18</v>
      </c>
      <c r="B48" s="39">
        <v>47</v>
      </c>
      <c r="C48" s="39">
        <v>126</v>
      </c>
      <c r="D48" s="39">
        <v>79</v>
      </c>
      <c r="E48" s="39">
        <f>IF(ACTUAL_DATASET!E19="Yes", 1,0)</f>
        <v>0</v>
      </c>
      <c r="F48" s="39">
        <v>33.299999999999997</v>
      </c>
      <c r="G48" s="39">
        <f>IF(ACTUAL_DATASET!G19="Yes",1,0)</f>
        <v>0</v>
      </c>
      <c r="H48" s="39" cm="1">
        <f t="array" ref="H48">'LOGISTIC_REGRESSION&amp;EVALUATION'!$B$18+SUMPRODUCT( B48:G48, TRANSPOSE('LOGISTIC_REGRESSION&amp;EVALUATION'!$B$19:$B$24))</f>
        <v>0.73999913421284713</v>
      </c>
      <c r="I48" s="39">
        <f t="shared" si="0"/>
        <v>0.67699566691468149</v>
      </c>
      <c r="J48" s="39">
        <f>IF(ACTUAL_DATASET!H19="Heart Disease", 1,0)</f>
        <v>1</v>
      </c>
      <c r="K48" s="39" t="str">
        <f t="shared" si="2"/>
        <v>No Disease</v>
      </c>
      <c r="L48" s="39">
        <f t="shared" si="3"/>
        <v>0</v>
      </c>
      <c r="M48" s="39" t="s">
        <v>9</v>
      </c>
      <c r="N48" s="40" t="str">
        <f t="shared" si="1"/>
        <v>No-0</v>
      </c>
      <c r="O48" s="39"/>
      <c r="P48" s="39"/>
      <c r="Q48" s="39"/>
      <c r="R48" s="39"/>
    </row>
    <row r="49" spans="1:18" x14ac:dyDescent="0.4">
      <c r="A49" s="64">
        <v>19</v>
      </c>
      <c r="B49" s="39">
        <v>58</v>
      </c>
      <c r="C49" s="39">
        <v>130</v>
      </c>
      <c r="D49" s="39">
        <v>86</v>
      </c>
      <c r="E49" s="39">
        <f>IF(ACTUAL_DATASET!E20="Yes", 1,0)</f>
        <v>1</v>
      </c>
      <c r="F49" s="39">
        <v>27.1</v>
      </c>
      <c r="G49" s="39">
        <f>IF(ACTUAL_DATASET!G20="Yes",1,0)</f>
        <v>0</v>
      </c>
      <c r="H49" s="39" cm="1">
        <f t="array" ref="H49">'LOGISTIC_REGRESSION&amp;EVALUATION'!$B$18+SUMPRODUCT( B49:G49, TRANSPOSE('LOGISTIC_REGRESSION&amp;EVALUATION'!$B$19:$B$24))</f>
        <v>0.85742633864611006</v>
      </c>
      <c r="I49" s="39">
        <f t="shared" si="0"/>
        <v>0.70212266242006682</v>
      </c>
      <c r="J49" s="39">
        <f>IF(ACTUAL_DATASET!H20="Heart Disease", 1,0)</f>
        <v>1</v>
      </c>
      <c r="K49" s="39" t="str">
        <f t="shared" si="2"/>
        <v>No Disease</v>
      </c>
      <c r="L49" s="39">
        <f t="shared" si="3"/>
        <v>0</v>
      </c>
      <c r="M49" s="39" t="s">
        <v>9</v>
      </c>
      <c r="N49" s="40" t="str">
        <f t="shared" si="1"/>
        <v>No-0</v>
      </c>
      <c r="O49" s="39"/>
      <c r="P49" s="39"/>
      <c r="Q49" s="39"/>
      <c r="R49" s="39"/>
    </row>
    <row r="50" spans="1:18" x14ac:dyDescent="0.4">
      <c r="A50" s="64">
        <v>20</v>
      </c>
      <c r="B50" s="39">
        <v>38</v>
      </c>
      <c r="C50" s="39">
        <v>133</v>
      </c>
      <c r="D50" s="39">
        <v>86</v>
      </c>
      <c r="E50" s="39">
        <f>IF(ACTUAL_DATASET!E21="Yes", 1,0)</f>
        <v>0</v>
      </c>
      <c r="F50" s="39">
        <v>25</v>
      </c>
      <c r="G50" s="39">
        <f>IF(ACTUAL_DATASET!G21="Yes",1,0)</f>
        <v>0</v>
      </c>
      <c r="H50" s="39" cm="1">
        <f t="array" ref="H50">'LOGISTIC_REGRESSION&amp;EVALUATION'!$B$18+SUMPRODUCT( B50:G50, TRANSPOSE('LOGISTIC_REGRESSION&amp;EVALUATION'!$B$19:$B$24))</f>
        <v>0.47729483182437082</v>
      </c>
      <c r="I50" s="39">
        <f t="shared" si="0"/>
        <v>0.61710888555110865</v>
      </c>
      <c r="J50" s="39">
        <f>IF(ACTUAL_DATASET!H21="Heart Disease", 1,0)</f>
        <v>0</v>
      </c>
      <c r="K50" s="39" t="str">
        <f t="shared" si="2"/>
        <v>No Disease</v>
      </c>
      <c r="L50" s="39">
        <f t="shared" si="3"/>
        <v>0</v>
      </c>
      <c r="M50" s="39" t="s">
        <v>10</v>
      </c>
      <c r="N50" s="40" t="str">
        <f t="shared" si="1"/>
        <v>Yes-1</v>
      </c>
      <c r="O50" s="39"/>
      <c r="P50" s="39"/>
      <c r="Q50" s="39"/>
      <c r="R50" s="39"/>
    </row>
    <row r="51" spans="1:18" x14ac:dyDescent="0.4">
      <c r="A51" s="64">
        <v>21</v>
      </c>
      <c r="B51" s="39">
        <v>64</v>
      </c>
      <c r="C51" s="39">
        <v>129</v>
      </c>
      <c r="D51" s="39">
        <v>81</v>
      </c>
      <c r="E51" s="39">
        <f>IF(ACTUAL_DATASET!E22="Yes", 1,0)</f>
        <v>0</v>
      </c>
      <c r="F51" s="39">
        <v>27.7</v>
      </c>
      <c r="G51" s="39">
        <f>IF(ACTUAL_DATASET!G22="Yes",1,0)</f>
        <v>0</v>
      </c>
      <c r="H51" s="39" cm="1">
        <f t="array" ref="H51">'LOGISTIC_REGRESSION&amp;EVALUATION'!$B$18+SUMPRODUCT( B51:G51, TRANSPOSE('LOGISTIC_REGRESSION&amp;EVALUATION'!$B$19:$B$24))</f>
        <v>1.0129973196765398</v>
      </c>
      <c r="I51" s="39">
        <f t="shared" si="0"/>
        <v>0.73360631968407486</v>
      </c>
      <c r="J51" s="39">
        <f>IF(ACTUAL_DATASET!H22="Heart Disease", 1,0)</f>
        <v>1</v>
      </c>
      <c r="K51" s="39" t="str">
        <f t="shared" si="2"/>
        <v>No Disease</v>
      </c>
      <c r="L51" s="39">
        <f t="shared" si="3"/>
        <v>0</v>
      </c>
      <c r="M51" s="39" t="s">
        <v>9</v>
      </c>
      <c r="N51" s="40" t="str">
        <f t="shared" si="1"/>
        <v>No-0</v>
      </c>
      <c r="O51" s="39"/>
      <c r="P51" s="39"/>
      <c r="Q51" s="39"/>
      <c r="R51" s="39"/>
    </row>
    <row r="52" spans="1:18" x14ac:dyDescent="0.4">
      <c r="A52" s="64">
        <v>22</v>
      </c>
      <c r="B52" s="39">
        <v>51</v>
      </c>
      <c r="C52" s="39">
        <v>120</v>
      </c>
      <c r="D52" s="39">
        <v>75</v>
      </c>
      <c r="E52" s="39">
        <f>IF(ACTUAL_DATASET!E23="Yes", 1,0)</f>
        <v>1</v>
      </c>
      <c r="F52" s="39">
        <v>28</v>
      </c>
      <c r="G52" s="39">
        <f>IF(ACTUAL_DATASET!G23="Yes",1,0)</f>
        <v>0</v>
      </c>
      <c r="H52" s="39" cm="1">
        <f t="array" ref="H52">'LOGISTIC_REGRESSION&amp;EVALUATION'!$B$18+SUMPRODUCT( B52:G52, TRANSPOSE('LOGISTIC_REGRESSION&amp;EVALUATION'!$B$19:$B$24))</f>
        <v>0.60728852851460635</v>
      </c>
      <c r="I52" s="39">
        <f t="shared" si="0"/>
        <v>0.64732203094517538</v>
      </c>
      <c r="J52" s="39">
        <f>IF(ACTUAL_DATASET!H23="Heart Disease", 1,0)</f>
        <v>1</v>
      </c>
      <c r="K52" s="39" t="str">
        <f t="shared" si="2"/>
        <v>No Disease</v>
      </c>
      <c r="L52" s="39">
        <f t="shared" si="3"/>
        <v>0</v>
      </c>
      <c r="M52" s="39" t="s">
        <v>9</v>
      </c>
      <c r="N52" s="40" t="str">
        <f t="shared" si="1"/>
        <v>No-0</v>
      </c>
      <c r="O52" s="39"/>
      <c r="P52" s="39"/>
      <c r="Q52" s="39"/>
      <c r="R52" s="39"/>
    </row>
    <row r="53" spans="1:18" x14ac:dyDescent="0.4">
      <c r="A53" s="64">
        <v>23</v>
      </c>
      <c r="B53" s="39">
        <v>53</v>
      </c>
      <c r="C53" s="39">
        <v>126</v>
      </c>
      <c r="D53" s="39">
        <v>86</v>
      </c>
      <c r="E53" s="39">
        <f>IF(ACTUAL_DATASET!E24="Yes", 1,0)</f>
        <v>1</v>
      </c>
      <c r="F53" s="39">
        <v>26.3</v>
      </c>
      <c r="G53" s="39">
        <f>IF(ACTUAL_DATASET!G24="Yes",1,0)</f>
        <v>0</v>
      </c>
      <c r="H53" s="39" cm="1">
        <f t="array" ref="H53">'LOGISTIC_REGRESSION&amp;EVALUATION'!$B$18+SUMPRODUCT( B53:G53, TRANSPOSE('LOGISTIC_REGRESSION&amp;EVALUATION'!$B$19:$B$24))</f>
        <v>0.71891267850792673</v>
      </c>
      <c r="I53" s="39">
        <f t="shared" si="0"/>
        <v>0.67236753654027059</v>
      </c>
      <c r="J53" s="39">
        <f>IF(ACTUAL_DATASET!H24="Heart Disease", 1,0)</f>
        <v>0</v>
      </c>
      <c r="K53" s="39" t="str">
        <f t="shared" si="2"/>
        <v>No Disease</v>
      </c>
      <c r="L53" s="39">
        <f t="shared" si="3"/>
        <v>0</v>
      </c>
      <c r="M53" s="39" t="s">
        <v>10</v>
      </c>
      <c r="N53" s="40" t="str">
        <f t="shared" si="1"/>
        <v>Yes-1</v>
      </c>
      <c r="O53" s="39"/>
      <c r="P53" s="39"/>
      <c r="Q53" s="39"/>
      <c r="R53" s="39"/>
    </row>
    <row r="54" spans="1:18" x14ac:dyDescent="0.4">
      <c r="A54" s="64">
        <v>24</v>
      </c>
      <c r="B54" s="39">
        <v>24</v>
      </c>
      <c r="C54" s="39">
        <v>127</v>
      </c>
      <c r="D54" s="39">
        <v>91</v>
      </c>
      <c r="E54" s="39">
        <f>IF(ACTUAL_DATASET!E25="Yes", 1,0)</f>
        <v>1</v>
      </c>
      <c r="F54" s="39">
        <v>26.9</v>
      </c>
      <c r="G54" s="39">
        <f>IF(ACTUAL_DATASET!G25="Yes",1,0)</f>
        <v>1</v>
      </c>
      <c r="H54" s="39" cm="1">
        <f t="array" ref="H54">'LOGISTIC_REGRESSION&amp;EVALUATION'!$B$18+SUMPRODUCT( B54:G54, TRANSPOSE('LOGISTIC_REGRESSION&amp;EVALUATION'!$B$19:$B$24))</f>
        <v>0.37055065531096076</v>
      </c>
      <c r="I54" s="39">
        <f t="shared" si="0"/>
        <v>0.591592029465279</v>
      </c>
      <c r="J54" s="39">
        <f>IF(ACTUAL_DATASET!H25="Heart Disease", 1,0)</f>
        <v>1</v>
      </c>
      <c r="K54" s="39" t="str">
        <f t="shared" si="2"/>
        <v>No Disease</v>
      </c>
      <c r="L54" s="39">
        <f t="shared" si="3"/>
        <v>0</v>
      </c>
      <c r="M54" s="39" t="s">
        <v>9</v>
      </c>
      <c r="N54" s="40" t="str">
        <f t="shared" si="1"/>
        <v>No-0</v>
      </c>
      <c r="O54" s="39"/>
      <c r="P54" s="39"/>
      <c r="Q54" s="39"/>
      <c r="R54" s="39"/>
    </row>
    <row r="55" spans="1:18" x14ac:dyDescent="0.4">
      <c r="A55" s="64">
        <v>25</v>
      </c>
      <c r="B55" s="39">
        <v>53</v>
      </c>
      <c r="C55" s="39">
        <v>142</v>
      </c>
      <c r="D55" s="39">
        <v>90</v>
      </c>
      <c r="E55" s="39">
        <f>IF(ACTUAL_DATASET!E26="Yes", 1,0)</f>
        <v>1</v>
      </c>
      <c r="F55" s="39">
        <v>26</v>
      </c>
      <c r="G55" s="39">
        <f>IF(ACTUAL_DATASET!G26="Yes",1,0)</f>
        <v>1</v>
      </c>
      <c r="H55" s="39" cm="1">
        <f t="array" ref="H55">'LOGISTIC_REGRESSION&amp;EVALUATION'!$B$18+SUMPRODUCT( B55:G55, TRANSPOSE('LOGISTIC_REGRESSION&amp;EVALUATION'!$B$19:$B$24))</f>
        <v>1.0210170589502972</v>
      </c>
      <c r="I55" s="39">
        <f t="shared" si="0"/>
        <v>0.73517066287027888</v>
      </c>
      <c r="J55" s="39">
        <f>IF(ACTUAL_DATASET!H26="Heart Disease", 1,0)</f>
        <v>1</v>
      </c>
      <c r="K55" s="39" t="str">
        <f t="shared" si="2"/>
        <v>No Disease</v>
      </c>
      <c r="L55" s="39">
        <f t="shared" si="3"/>
        <v>0</v>
      </c>
      <c r="M55" s="39" t="s">
        <v>9</v>
      </c>
      <c r="N55" s="40" t="str">
        <f t="shared" si="1"/>
        <v>No-0</v>
      </c>
      <c r="O55" s="39"/>
      <c r="P55" s="39"/>
      <c r="Q55" s="39"/>
      <c r="R55" s="39"/>
    </row>
    <row r="56" spans="1:18" x14ac:dyDescent="0.4">
      <c r="A56" s="64">
        <v>26</v>
      </c>
      <c r="B56" s="39">
        <v>61</v>
      </c>
      <c r="C56" s="39">
        <v>158</v>
      </c>
      <c r="D56" s="39">
        <v>95</v>
      </c>
      <c r="E56" s="39">
        <f>IF(ACTUAL_DATASET!E27="Yes", 1,0)</f>
        <v>1</v>
      </c>
      <c r="F56" s="39">
        <v>30</v>
      </c>
      <c r="G56" s="39">
        <f>IF(ACTUAL_DATASET!G27="Yes",1,0)</f>
        <v>0</v>
      </c>
      <c r="H56" s="39" cm="1">
        <f t="array" ref="H56">'LOGISTIC_REGRESSION&amp;EVALUATION'!$B$18+SUMPRODUCT( B56:G56, TRANSPOSE('LOGISTIC_REGRESSION&amp;EVALUATION'!$B$19:$B$24))</f>
        <v>1.1737889346619506</v>
      </c>
      <c r="I56" s="39">
        <f t="shared" si="0"/>
        <v>0.76382920050003911</v>
      </c>
      <c r="J56" s="39">
        <f>IF(ACTUAL_DATASET!H27="Heart Disease", 1,0)</f>
        <v>1</v>
      </c>
      <c r="K56" s="39" t="str">
        <f t="shared" si="2"/>
        <v>Heart Disease</v>
      </c>
      <c r="L56" s="39">
        <f t="shared" si="3"/>
        <v>1</v>
      </c>
      <c r="M56" s="39" t="s">
        <v>9</v>
      </c>
      <c r="N56" s="40" t="str">
        <f t="shared" si="1"/>
        <v>Yes-1</v>
      </c>
      <c r="O56" s="39"/>
      <c r="P56" s="39"/>
      <c r="Q56" s="39"/>
      <c r="R56" s="39"/>
    </row>
    <row r="57" spans="1:18" x14ac:dyDescent="0.4">
      <c r="A57" s="64">
        <v>27</v>
      </c>
      <c r="B57" s="39">
        <v>37</v>
      </c>
      <c r="C57" s="39">
        <v>142</v>
      </c>
      <c r="D57" s="39">
        <v>94</v>
      </c>
      <c r="E57" s="39">
        <f>IF(ACTUAL_DATASET!E28="Yes", 1,0)</f>
        <v>0</v>
      </c>
      <c r="F57" s="39">
        <v>27.3</v>
      </c>
      <c r="G57" s="39">
        <f>IF(ACTUAL_DATASET!G28="Yes",1,0)</f>
        <v>0</v>
      </c>
      <c r="H57" s="39" cm="1">
        <f t="array" ref="H57">'LOGISTIC_REGRESSION&amp;EVALUATION'!$B$18+SUMPRODUCT( B57:G57, TRANSPOSE('LOGISTIC_REGRESSION&amp;EVALUATION'!$B$19:$B$24))</f>
        <v>0.59815520748826057</v>
      </c>
      <c r="I57" s="39">
        <f t="shared" si="0"/>
        <v>0.6452341334517121</v>
      </c>
      <c r="J57" s="39">
        <f>IF(ACTUAL_DATASET!H28="Heart Disease", 1,0)</f>
        <v>1</v>
      </c>
      <c r="K57" s="39" t="str">
        <f t="shared" si="2"/>
        <v>No Disease</v>
      </c>
      <c r="L57" s="39">
        <f t="shared" si="3"/>
        <v>0</v>
      </c>
      <c r="M57" s="39" t="s">
        <v>9</v>
      </c>
      <c r="N57" s="40" t="str">
        <f t="shared" si="1"/>
        <v>No-0</v>
      </c>
      <c r="O57" s="39"/>
      <c r="P57" s="39"/>
      <c r="Q57" s="39"/>
      <c r="R57" s="39"/>
    </row>
    <row r="58" spans="1:18" x14ac:dyDescent="0.4">
      <c r="A58" s="64">
        <v>28</v>
      </c>
      <c r="B58" s="39">
        <v>29</v>
      </c>
      <c r="C58" s="39">
        <v>107</v>
      </c>
      <c r="D58" s="39">
        <v>74</v>
      </c>
      <c r="E58" s="39">
        <f>IF(ACTUAL_DATASET!E29="Yes", 1,0)</f>
        <v>0</v>
      </c>
      <c r="F58" s="39">
        <v>27.3</v>
      </c>
      <c r="G58" s="39">
        <f>IF(ACTUAL_DATASET!G29="Yes",1,0)</f>
        <v>1</v>
      </c>
      <c r="H58" s="39" cm="1">
        <f t="array" ref="H58">'LOGISTIC_REGRESSION&amp;EVALUATION'!$B$18+SUMPRODUCT( B58:G58, TRANSPOSE('LOGISTIC_REGRESSION&amp;EVALUATION'!$B$19:$B$24))</f>
        <v>0.3275415623009752</v>
      </c>
      <c r="I58" s="39">
        <f t="shared" si="0"/>
        <v>0.58116108112285336</v>
      </c>
      <c r="J58" s="39">
        <f>IF(ACTUAL_DATASET!H29="Heart Disease", 1,0)</f>
        <v>0</v>
      </c>
      <c r="K58" s="39" t="str">
        <f t="shared" si="2"/>
        <v>No Disease</v>
      </c>
      <c r="L58" s="39">
        <f t="shared" si="3"/>
        <v>0</v>
      </c>
      <c r="M58" s="39" t="s">
        <v>10</v>
      </c>
      <c r="N58" s="40" t="str">
        <f t="shared" si="1"/>
        <v>Yes-1</v>
      </c>
      <c r="O58" s="39"/>
      <c r="P58" s="39"/>
      <c r="Q58" s="39"/>
      <c r="R58" s="39"/>
    </row>
    <row r="59" spans="1:18" x14ac:dyDescent="0.4">
      <c r="A59" s="64">
        <v>29</v>
      </c>
      <c r="B59" s="39">
        <v>43</v>
      </c>
      <c r="C59" s="39">
        <v>129</v>
      </c>
      <c r="D59" s="39">
        <v>84</v>
      </c>
      <c r="E59" s="39">
        <f>IF(ACTUAL_DATASET!E30="Yes", 1,0)</f>
        <v>1</v>
      </c>
      <c r="F59" s="39">
        <v>23.5</v>
      </c>
      <c r="G59" s="39">
        <f>IF(ACTUAL_DATASET!G30="Yes",1,0)</f>
        <v>0</v>
      </c>
      <c r="H59" s="39" cm="1">
        <f t="array" ref="H59">'LOGISTIC_REGRESSION&amp;EVALUATION'!$B$18+SUMPRODUCT( B59:G59, TRANSPOSE('LOGISTIC_REGRESSION&amp;EVALUATION'!$B$19:$B$24))</f>
        <v>0.46073368956357719</v>
      </c>
      <c r="I59" s="39">
        <f t="shared" si="0"/>
        <v>0.61318821325894601</v>
      </c>
      <c r="J59" s="39">
        <f>IF(ACTUAL_DATASET!H30="Heart Disease", 1,0)</f>
        <v>0</v>
      </c>
      <c r="K59" s="39" t="str">
        <f t="shared" si="2"/>
        <v>No Disease</v>
      </c>
      <c r="L59" s="39">
        <f t="shared" si="3"/>
        <v>0</v>
      </c>
      <c r="M59" s="39" t="s">
        <v>10</v>
      </c>
      <c r="N59" s="40" t="str">
        <f t="shared" si="1"/>
        <v>Yes-1</v>
      </c>
      <c r="O59" s="39"/>
      <c r="P59" s="39"/>
      <c r="Q59" s="39"/>
      <c r="R59" s="39"/>
    </row>
    <row r="60" spans="1:18" x14ac:dyDescent="0.4">
      <c r="A60" s="64">
        <v>30</v>
      </c>
      <c r="B60" s="39">
        <v>50</v>
      </c>
      <c r="C60" s="39">
        <v>130</v>
      </c>
      <c r="D60" s="39">
        <v>86</v>
      </c>
      <c r="E60" s="39">
        <f>IF(ACTUAL_DATASET!E31="Yes", 1,0)</f>
        <v>0</v>
      </c>
      <c r="F60" s="39">
        <v>32.200000000000003</v>
      </c>
      <c r="G60" s="39">
        <f>IF(ACTUAL_DATASET!G31="Yes",1,0)</f>
        <v>1</v>
      </c>
      <c r="H60" s="39" cm="1">
        <f t="array" ref="H60">'LOGISTIC_REGRESSION&amp;EVALUATION'!$B$18+SUMPRODUCT( B60:G60, TRANSPOSE('LOGISTIC_REGRESSION&amp;EVALUATION'!$B$19:$B$24))</f>
        <v>1.0488286302817009</v>
      </c>
      <c r="I60" s="39">
        <f t="shared" si="0"/>
        <v>0.74054990061250825</v>
      </c>
      <c r="J60" s="39">
        <f>IF(ACTUAL_DATASET!H31="Heart Disease", 1,0)</f>
        <v>1</v>
      </c>
      <c r="K60" s="39" t="str">
        <f t="shared" si="2"/>
        <v>No Disease</v>
      </c>
      <c r="L60" s="39">
        <f t="shared" si="3"/>
        <v>0</v>
      </c>
      <c r="M60" s="39" t="s">
        <v>9</v>
      </c>
      <c r="N60" s="40" t="str">
        <f t="shared" si="1"/>
        <v>No-0</v>
      </c>
      <c r="O60" s="39"/>
      <c r="P60" s="39"/>
      <c r="Q60" s="39"/>
      <c r="R60" s="39"/>
    </row>
    <row r="61" spans="1:18" x14ac:dyDescent="0.4">
      <c r="A61" s="64">
        <v>31</v>
      </c>
      <c r="B61" s="39">
        <v>63</v>
      </c>
      <c r="C61" s="39">
        <v>139</v>
      </c>
      <c r="D61" s="39">
        <v>93</v>
      </c>
      <c r="E61" s="39">
        <f>IF(ACTUAL_DATASET!E32="Yes", 1,0)</f>
        <v>0</v>
      </c>
      <c r="F61" s="39">
        <v>23.5</v>
      </c>
      <c r="G61" s="39">
        <f>IF(ACTUAL_DATASET!G32="Yes",1,0)</f>
        <v>0</v>
      </c>
      <c r="H61" s="39" cm="1">
        <f t="array" ref="H61">'LOGISTIC_REGRESSION&amp;EVALUATION'!$B$18+SUMPRODUCT( B61:G61, TRANSPOSE('LOGISTIC_REGRESSION&amp;EVALUATION'!$B$19:$B$24))</f>
        <v>1.041632330718258</v>
      </c>
      <c r="I61" s="39">
        <f t="shared" si="0"/>
        <v>0.73916484257844406</v>
      </c>
      <c r="J61" s="39">
        <f>IF(ACTUAL_DATASET!H32="Heart Disease", 1,0)</f>
        <v>1</v>
      </c>
      <c r="K61" s="39" t="str">
        <f t="shared" si="2"/>
        <v>No Disease</v>
      </c>
      <c r="L61" s="39">
        <f t="shared" si="3"/>
        <v>0</v>
      </c>
      <c r="M61" s="39" t="s">
        <v>9</v>
      </c>
      <c r="N61" s="40" t="str">
        <f t="shared" si="1"/>
        <v>No-0</v>
      </c>
      <c r="O61" s="39"/>
      <c r="P61" s="39"/>
      <c r="Q61" s="39"/>
      <c r="R61" s="39"/>
    </row>
    <row r="62" spans="1:18" x14ac:dyDescent="0.4">
      <c r="A62" s="64">
        <v>32</v>
      </c>
      <c r="B62" s="39">
        <v>51</v>
      </c>
      <c r="C62" s="39">
        <v>159</v>
      </c>
      <c r="D62" s="39">
        <v>103</v>
      </c>
      <c r="E62" s="39">
        <f>IF(ACTUAL_DATASET!E33="Yes", 1,0)</f>
        <v>1</v>
      </c>
      <c r="F62" s="39">
        <v>24.1</v>
      </c>
      <c r="G62" s="39">
        <f>IF(ACTUAL_DATASET!G33="Yes",1,0)</f>
        <v>1</v>
      </c>
      <c r="H62" s="39" cm="1">
        <f t="array" ref="H62">'LOGISTIC_REGRESSION&amp;EVALUATION'!$B$18+SUMPRODUCT( B62:G62, TRANSPOSE('LOGISTIC_REGRESSION&amp;EVALUATION'!$B$19:$B$24))</f>
        <v>1.1142762301595366</v>
      </c>
      <c r="I62" s="39">
        <f t="shared" si="0"/>
        <v>0.752925473104058</v>
      </c>
      <c r="J62" s="39">
        <f>IF(ACTUAL_DATASET!H33="Heart Disease", 1,0)</f>
        <v>1</v>
      </c>
      <c r="K62" s="39" t="str">
        <f t="shared" si="2"/>
        <v>Heart Disease</v>
      </c>
      <c r="L62" s="39">
        <f t="shared" si="3"/>
        <v>1</v>
      </c>
      <c r="M62" s="39" t="s">
        <v>9</v>
      </c>
      <c r="N62" s="40" t="str">
        <f t="shared" si="1"/>
        <v>Yes-1</v>
      </c>
      <c r="O62" s="39"/>
      <c r="P62" s="39"/>
      <c r="Q62" s="39"/>
      <c r="R62" s="39"/>
    </row>
    <row r="63" spans="1:18" ht="21.6" thickBot="1" x14ac:dyDescent="0.45">
      <c r="A63" s="6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8"/>
      <c r="O63" s="39"/>
      <c r="P63" s="39"/>
      <c r="Q63" s="39"/>
      <c r="R63" s="39"/>
    </row>
    <row r="64" spans="1:18" x14ac:dyDescent="0.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</row>
    <row r="65" spans="1:18" ht="21.6" thickBot="1" x14ac:dyDescent="0.4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</row>
    <row r="66" spans="1:18" ht="34.799999999999997" customHeight="1" x14ac:dyDescent="0.6">
      <c r="A66" s="88" t="s">
        <v>92</v>
      </c>
      <c r="B66" s="43" t="s">
        <v>62</v>
      </c>
      <c r="C66" s="44" t="s">
        <v>63</v>
      </c>
      <c r="D66" s="39"/>
      <c r="E66" s="39"/>
      <c r="F66" s="39"/>
      <c r="G66" s="39"/>
      <c r="H66" s="88" t="s">
        <v>92</v>
      </c>
      <c r="I66" s="43" t="s">
        <v>62</v>
      </c>
      <c r="J66" s="44" t="s">
        <v>63</v>
      </c>
      <c r="K66" s="39"/>
      <c r="L66" s="39"/>
      <c r="M66" s="39"/>
      <c r="N66" s="39"/>
      <c r="O66" s="39"/>
      <c r="P66" s="39"/>
      <c r="Q66" s="39"/>
      <c r="R66" s="39"/>
    </row>
    <row r="67" spans="1:18" ht="34.799999999999997" customHeight="1" x14ac:dyDescent="0.4">
      <c r="A67" s="41" t="s">
        <v>60</v>
      </c>
      <c r="B67" s="72" t="s">
        <v>64</v>
      </c>
      <c r="C67" s="73" t="s">
        <v>66</v>
      </c>
      <c r="D67" s="39"/>
      <c r="E67" s="39"/>
      <c r="F67" s="39"/>
      <c r="G67" s="39"/>
      <c r="H67" s="41" t="s">
        <v>60</v>
      </c>
      <c r="I67" s="72">
        <f>COUNTIFS(J31:J62,1, L31:L62,1)</f>
        <v>4</v>
      </c>
      <c r="J67" s="73">
        <f>COUNTIFS(J31:J62,1,L31:L62,0)</f>
        <v>19</v>
      </c>
      <c r="K67" s="39"/>
      <c r="L67" s="39"/>
      <c r="M67" s="39"/>
      <c r="N67" s="39"/>
      <c r="O67" s="39"/>
      <c r="P67" s="39"/>
      <c r="Q67" s="39"/>
      <c r="R67" s="39"/>
    </row>
    <row r="68" spans="1:18" ht="28.2" customHeight="1" thickBot="1" x14ac:dyDescent="0.45">
      <c r="A68" s="42" t="s">
        <v>61</v>
      </c>
      <c r="B68" s="74" t="s">
        <v>65</v>
      </c>
      <c r="C68" s="75" t="s">
        <v>67</v>
      </c>
      <c r="D68" s="39"/>
      <c r="E68" s="39"/>
      <c r="F68" s="39"/>
      <c r="G68" s="39"/>
      <c r="H68" s="42" t="s">
        <v>61</v>
      </c>
      <c r="I68" s="74">
        <f>COUNTIFS(J31:J62,0,L31:L62,1)</f>
        <v>0</v>
      </c>
      <c r="J68" s="75">
        <f>COUNTIFS(J31:J62,0,L31:L62,0)</f>
        <v>9</v>
      </c>
      <c r="K68" s="39"/>
      <c r="L68" s="39"/>
      <c r="M68" s="39"/>
      <c r="N68" s="39"/>
      <c r="O68" s="39"/>
      <c r="P68" s="39"/>
      <c r="Q68" s="39"/>
      <c r="R68" s="39"/>
    </row>
    <row r="69" spans="1:18" ht="21.6" thickBot="1" x14ac:dyDescent="0.4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</row>
    <row r="70" spans="1:18" x14ac:dyDescent="0.4">
      <c r="A70" s="103" t="s">
        <v>77</v>
      </c>
      <c r="B70" s="76" t="s">
        <v>78</v>
      </c>
      <c r="C70" s="134" t="s">
        <v>79</v>
      </c>
      <c r="D70" s="134"/>
      <c r="E70" s="134"/>
      <c r="F70" s="135"/>
      <c r="G70" s="39"/>
      <c r="H70" s="103" t="s">
        <v>80</v>
      </c>
      <c r="I70" s="78"/>
      <c r="J70" s="77" t="s">
        <v>89</v>
      </c>
      <c r="K70" s="39"/>
      <c r="L70" s="39"/>
      <c r="M70" s="39"/>
      <c r="N70" s="39"/>
      <c r="O70" s="39"/>
      <c r="P70" s="39"/>
      <c r="Q70" s="39"/>
      <c r="R70" s="39"/>
    </row>
    <row r="71" spans="1:18" ht="57.6" customHeight="1" x14ac:dyDescent="0.4">
      <c r="A71" s="104" t="s">
        <v>68</v>
      </c>
      <c r="B71" s="39" t="s">
        <v>71</v>
      </c>
      <c r="C71" s="136" t="s">
        <v>72</v>
      </c>
      <c r="D71" s="136"/>
      <c r="E71" s="136"/>
      <c r="F71" s="137"/>
      <c r="G71" s="39"/>
      <c r="H71" s="104" t="s">
        <v>68</v>
      </c>
      <c r="I71" s="39">
        <f>('LOGISTIC_REGRESSION&amp;EVALUATION'!I67+'LOGISTIC_REGRESSION&amp;EVALUATION'!J68)/32</f>
        <v>0.40625</v>
      </c>
      <c r="J71" s="45">
        <f>I71</f>
        <v>0.40625</v>
      </c>
      <c r="K71" s="39"/>
      <c r="L71" s="39"/>
      <c r="M71" s="39"/>
      <c r="N71" s="39"/>
      <c r="O71" s="39"/>
      <c r="P71" s="39"/>
      <c r="Q71" s="39"/>
      <c r="R71" s="39"/>
    </row>
    <row r="72" spans="1:18" ht="58.2" customHeight="1" x14ac:dyDescent="0.4">
      <c r="A72" s="104" t="s">
        <v>69</v>
      </c>
      <c r="B72" s="39" t="s">
        <v>73</v>
      </c>
      <c r="C72" s="136" t="s">
        <v>74</v>
      </c>
      <c r="D72" s="136"/>
      <c r="E72" s="136"/>
      <c r="F72" s="137"/>
      <c r="G72" s="39"/>
      <c r="H72" s="104" t="s">
        <v>69</v>
      </c>
      <c r="I72" s="39">
        <f>I67/(I67+I68)</f>
        <v>1</v>
      </c>
      <c r="J72" s="45">
        <f>I72</f>
        <v>1</v>
      </c>
      <c r="K72" s="39"/>
      <c r="L72" s="39"/>
      <c r="M72" s="39"/>
      <c r="N72" s="39"/>
      <c r="O72" s="39"/>
      <c r="P72" s="39"/>
      <c r="Q72" s="39"/>
      <c r="R72" s="39"/>
    </row>
    <row r="73" spans="1:18" ht="56.4" customHeight="1" thickBot="1" x14ac:dyDescent="0.45">
      <c r="A73" s="42" t="s">
        <v>70</v>
      </c>
      <c r="B73" s="37" t="s">
        <v>75</v>
      </c>
      <c r="C73" s="129" t="s">
        <v>76</v>
      </c>
      <c r="D73" s="129"/>
      <c r="E73" s="129"/>
      <c r="F73" s="130"/>
      <c r="G73" s="39"/>
      <c r="H73" s="42" t="s">
        <v>70</v>
      </c>
      <c r="I73" s="37">
        <f>I67/(I71+J67)</f>
        <v>0.20611916264090177</v>
      </c>
      <c r="J73" s="79">
        <f>I73</f>
        <v>0.20611916264090177</v>
      </c>
      <c r="K73" s="39"/>
      <c r="L73" s="39"/>
      <c r="M73" s="39"/>
      <c r="N73" s="39"/>
      <c r="O73" s="39"/>
      <c r="P73" s="39"/>
      <c r="Q73" s="39"/>
      <c r="R73" s="39"/>
    </row>
    <row r="74" spans="1:18" ht="64.8" thickBot="1" x14ac:dyDescent="0.55000000000000004">
      <c r="A74" s="42" t="s">
        <v>86</v>
      </c>
      <c r="B74" s="52" t="s">
        <v>87</v>
      </c>
      <c r="C74" s="127" t="s">
        <v>88</v>
      </c>
      <c r="D74" s="127"/>
      <c r="E74" s="127"/>
      <c r="F74" s="128"/>
      <c r="G74" s="39"/>
      <c r="H74" s="105" t="s">
        <v>86</v>
      </c>
      <c r="I74" s="37">
        <f>2*(I72*I73)/(I72+I73)</f>
        <v>0.34178905206942589</v>
      </c>
      <c r="J74" s="79">
        <f>I74</f>
        <v>0.34178905206942589</v>
      </c>
      <c r="K74" s="39"/>
      <c r="L74" s="39"/>
      <c r="M74" s="39"/>
      <c r="N74" s="39"/>
      <c r="O74" s="39"/>
      <c r="P74" s="39"/>
      <c r="Q74" s="39"/>
      <c r="R74" s="39"/>
    </row>
    <row r="75" spans="1:18" x14ac:dyDescent="0.4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</row>
    <row r="76" spans="1:18" x14ac:dyDescent="0.4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</row>
    <row r="77" spans="1:18" x14ac:dyDescent="0.4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</row>
    <row r="78" spans="1:18" x14ac:dyDescent="0.4">
      <c r="A78"/>
      <c r="B78"/>
      <c r="C78"/>
    </row>
    <row r="79" spans="1:18" x14ac:dyDescent="0.4">
      <c r="A79"/>
      <c r="B79"/>
      <c r="C79"/>
    </row>
    <row r="80" spans="1:18" x14ac:dyDescent="0.4">
      <c r="A80"/>
      <c r="B80"/>
      <c r="C80"/>
    </row>
    <row r="81" spans="1:10" x14ac:dyDescent="0.4">
      <c r="A81"/>
      <c r="B81"/>
      <c r="C81"/>
    </row>
    <row r="82" spans="1:10" x14ac:dyDescent="0.4">
      <c r="A82"/>
      <c r="B82"/>
      <c r="C82"/>
    </row>
    <row r="83" spans="1:10" x14ac:dyDescent="0.4">
      <c r="A83"/>
      <c r="B83"/>
      <c r="C83"/>
      <c r="H83"/>
      <c r="I83"/>
      <c r="J83"/>
    </row>
    <row r="84" spans="1:10" x14ac:dyDescent="0.4">
      <c r="A84"/>
      <c r="B84"/>
      <c r="C84"/>
      <c r="H84"/>
      <c r="I84"/>
      <c r="J84"/>
    </row>
    <row r="85" spans="1:10" x14ac:dyDescent="0.4">
      <c r="A85"/>
      <c r="B85"/>
      <c r="C85"/>
      <c r="H85"/>
      <c r="I85"/>
      <c r="J85"/>
    </row>
    <row r="86" spans="1:10" x14ac:dyDescent="0.4">
      <c r="A86"/>
      <c r="B86"/>
      <c r="C86"/>
      <c r="H86"/>
      <c r="I86"/>
      <c r="J86"/>
    </row>
    <row r="87" spans="1:10" x14ac:dyDescent="0.4">
      <c r="A87"/>
      <c r="B87"/>
      <c r="C87"/>
      <c r="H87"/>
      <c r="I87"/>
      <c r="J87"/>
    </row>
    <row r="88" spans="1:10" x14ac:dyDescent="0.4">
      <c r="A88"/>
      <c r="B88"/>
      <c r="C88"/>
      <c r="H88"/>
      <c r="I88"/>
      <c r="J88"/>
    </row>
    <row r="89" spans="1:10" x14ac:dyDescent="0.4">
      <c r="A89"/>
      <c r="B89"/>
      <c r="C89"/>
      <c r="H89"/>
      <c r="I89"/>
      <c r="J89"/>
    </row>
    <row r="90" spans="1:10" x14ac:dyDescent="0.4">
      <c r="A90"/>
      <c r="B90"/>
      <c r="C90"/>
      <c r="H90"/>
      <c r="I90"/>
      <c r="J90"/>
    </row>
    <row r="91" spans="1:10" x14ac:dyDescent="0.4">
      <c r="A91"/>
      <c r="B91"/>
      <c r="C91"/>
      <c r="H91"/>
      <c r="I91"/>
      <c r="J91"/>
    </row>
    <row r="92" spans="1:10" x14ac:dyDescent="0.4">
      <c r="A92"/>
      <c r="B92"/>
      <c r="C92"/>
      <c r="H92"/>
      <c r="I92"/>
      <c r="J92"/>
    </row>
    <row r="93" spans="1:10" x14ac:dyDescent="0.4">
      <c r="A93"/>
      <c r="B93"/>
      <c r="C93"/>
      <c r="H93"/>
      <c r="I93"/>
      <c r="J93"/>
    </row>
    <row r="94" spans="1:10" x14ac:dyDescent="0.4">
      <c r="A94"/>
      <c r="B94"/>
      <c r="C94"/>
      <c r="H94"/>
      <c r="I94"/>
      <c r="J94"/>
    </row>
    <row r="95" spans="1:10" x14ac:dyDescent="0.4">
      <c r="A95"/>
      <c r="B95"/>
      <c r="C95"/>
      <c r="H95"/>
      <c r="I95"/>
      <c r="J95"/>
    </row>
    <row r="96" spans="1:10" x14ac:dyDescent="0.4">
      <c r="A96"/>
      <c r="H96"/>
      <c r="I96"/>
      <c r="J96"/>
    </row>
    <row r="97" spans="1:10" x14ac:dyDescent="0.4">
      <c r="A97"/>
      <c r="H97"/>
      <c r="I97"/>
      <c r="J97"/>
    </row>
    <row r="98" spans="1:10" x14ac:dyDescent="0.4">
      <c r="A98"/>
      <c r="H98"/>
      <c r="I98"/>
      <c r="J98"/>
    </row>
    <row r="99" spans="1:10" x14ac:dyDescent="0.4">
      <c r="A99"/>
      <c r="H99"/>
      <c r="I99"/>
      <c r="J99"/>
    </row>
    <row r="100" spans="1:10" x14ac:dyDescent="0.4">
      <c r="A100"/>
      <c r="H100"/>
      <c r="I100"/>
      <c r="J100"/>
    </row>
    <row r="101" spans="1:10" x14ac:dyDescent="0.4">
      <c r="A101"/>
      <c r="H101"/>
    </row>
    <row r="102" spans="1:10" x14ac:dyDescent="0.4">
      <c r="A102"/>
      <c r="H102"/>
    </row>
    <row r="103" spans="1:10" x14ac:dyDescent="0.4">
      <c r="A103"/>
      <c r="H103"/>
    </row>
    <row r="104" spans="1:10" x14ac:dyDescent="0.4">
      <c r="A104"/>
      <c r="H104"/>
    </row>
    <row r="105" spans="1:10" x14ac:dyDescent="0.4">
      <c r="A105"/>
      <c r="H105"/>
    </row>
    <row r="106" spans="1:10" x14ac:dyDescent="0.4">
      <c r="A106"/>
      <c r="H106"/>
    </row>
    <row r="107" spans="1:10" x14ac:dyDescent="0.4">
      <c r="A107"/>
      <c r="H107"/>
    </row>
    <row r="108" spans="1:10" x14ac:dyDescent="0.4">
      <c r="A108"/>
      <c r="H108"/>
    </row>
    <row r="109" spans="1:10" x14ac:dyDescent="0.4">
      <c r="A109"/>
      <c r="H109"/>
    </row>
    <row r="110" spans="1:10" x14ac:dyDescent="0.4">
      <c r="A110"/>
      <c r="H110"/>
    </row>
    <row r="111" spans="1:10" x14ac:dyDescent="0.4">
      <c r="A111"/>
      <c r="H111"/>
    </row>
    <row r="112" spans="1:10" x14ac:dyDescent="0.4">
      <c r="A112"/>
      <c r="H112"/>
    </row>
    <row r="113" spans="1:8" x14ac:dyDescent="0.4">
      <c r="A113"/>
      <c r="H113"/>
    </row>
    <row r="114" spans="1:8" x14ac:dyDescent="0.4">
      <c r="A114"/>
      <c r="H114"/>
    </row>
    <row r="115" spans="1:8" x14ac:dyDescent="0.4">
      <c r="A115"/>
      <c r="H115"/>
    </row>
    <row r="116" spans="1:8" x14ac:dyDescent="0.4">
      <c r="A116"/>
      <c r="H116"/>
    </row>
    <row r="117" spans="1:8" x14ac:dyDescent="0.4">
      <c r="A117"/>
      <c r="H117"/>
    </row>
    <row r="118" spans="1:8" x14ac:dyDescent="0.4">
      <c r="A118"/>
      <c r="H118"/>
    </row>
    <row r="119" spans="1:8" x14ac:dyDescent="0.4">
      <c r="A119"/>
      <c r="H119"/>
    </row>
    <row r="120" spans="1:8" x14ac:dyDescent="0.4">
      <c r="A120"/>
      <c r="H120"/>
    </row>
    <row r="121" spans="1:8" x14ac:dyDescent="0.4">
      <c r="A121"/>
      <c r="H121"/>
    </row>
    <row r="122" spans="1:8" x14ac:dyDescent="0.4">
      <c r="A122"/>
      <c r="H122"/>
    </row>
    <row r="123" spans="1:8" x14ac:dyDescent="0.4">
      <c r="A123"/>
      <c r="H123"/>
    </row>
    <row r="124" spans="1:8" x14ac:dyDescent="0.4">
      <c r="A124"/>
      <c r="H124"/>
    </row>
    <row r="125" spans="1:8" x14ac:dyDescent="0.4">
      <c r="A125"/>
      <c r="H125"/>
    </row>
    <row r="126" spans="1:8" x14ac:dyDescent="0.4">
      <c r="A126"/>
      <c r="H126"/>
    </row>
    <row r="127" spans="1:8" x14ac:dyDescent="0.4">
      <c r="A127"/>
      <c r="H127"/>
    </row>
    <row r="128" spans="1:8" x14ac:dyDescent="0.4">
      <c r="A128"/>
      <c r="H128"/>
    </row>
    <row r="129" spans="1:8" x14ac:dyDescent="0.4">
      <c r="A129"/>
      <c r="H129"/>
    </row>
    <row r="130" spans="1:8" x14ac:dyDescent="0.4">
      <c r="A130"/>
      <c r="H130"/>
    </row>
    <row r="131" spans="1:8" x14ac:dyDescent="0.4">
      <c r="A131"/>
      <c r="H131"/>
    </row>
    <row r="132" spans="1:8" x14ac:dyDescent="0.4">
      <c r="A132"/>
      <c r="H132"/>
    </row>
    <row r="133" spans="1:8" x14ac:dyDescent="0.4">
      <c r="H133"/>
    </row>
    <row r="134" spans="1:8" x14ac:dyDescent="0.4">
      <c r="H134"/>
    </row>
    <row r="135" spans="1:8" x14ac:dyDescent="0.4">
      <c r="H135"/>
    </row>
    <row r="136" spans="1:8" x14ac:dyDescent="0.4">
      <c r="H136"/>
    </row>
    <row r="137" spans="1:8" x14ac:dyDescent="0.4">
      <c r="H137"/>
    </row>
  </sheetData>
  <mergeCells count="6">
    <mergeCell ref="C74:F74"/>
    <mergeCell ref="C73:F73"/>
    <mergeCell ref="A25:D25"/>
    <mergeCell ref="C70:F70"/>
    <mergeCell ref="C71:F71"/>
    <mergeCell ref="C72:F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28C9-27E9-464D-9C84-90FB276EBE36}">
  <dimension ref="A1:Q48"/>
  <sheetViews>
    <sheetView topLeftCell="A13" zoomScale="43" zoomScaleNormal="75" workbookViewId="0">
      <selection activeCell="J52" sqref="J52"/>
    </sheetView>
  </sheetViews>
  <sheetFormatPr defaultRowHeight="14.4" x14ac:dyDescent="0.3"/>
  <cols>
    <col min="1" max="1" width="46" customWidth="1"/>
    <col min="2" max="2" width="41.6640625" customWidth="1"/>
    <col min="3" max="3" width="35.77734375" customWidth="1"/>
    <col min="4" max="4" width="35.88671875" customWidth="1"/>
    <col min="5" max="5" width="12.5546875" customWidth="1"/>
    <col min="7" max="7" width="14" customWidth="1"/>
    <col min="8" max="8" width="41.77734375" customWidth="1"/>
    <col min="9" max="9" width="31.44140625" customWidth="1"/>
    <col min="10" max="10" width="30.88671875" customWidth="1"/>
    <col min="13" max="13" width="36.77734375" customWidth="1"/>
    <col min="15" max="15" width="17" customWidth="1"/>
  </cols>
  <sheetData>
    <row r="1" spans="1:17" ht="21" x14ac:dyDescent="0.4">
      <c r="A1" s="117" t="s">
        <v>48</v>
      </c>
      <c r="B1" s="118"/>
      <c r="C1" s="118"/>
      <c r="D1" s="118"/>
      <c r="E1" s="118"/>
      <c r="F1" s="118"/>
      <c r="G1" s="118"/>
      <c r="H1" s="118"/>
      <c r="I1" s="118"/>
      <c r="J1" s="119"/>
    </row>
    <row r="2" spans="1:17" x14ac:dyDescent="0.3">
      <c r="A2" s="120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11</v>
      </c>
      <c r="I2" s="1" t="s">
        <v>38</v>
      </c>
      <c r="J2" s="121" t="s">
        <v>93</v>
      </c>
    </row>
    <row r="3" spans="1:17" ht="25.8" x14ac:dyDescent="0.5">
      <c r="A3" s="112">
        <v>1</v>
      </c>
      <c r="B3" s="2">
        <v>45</v>
      </c>
      <c r="C3" s="2">
        <v>130</v>
      </c>
      <c r="D3" s="2">
        <v>85</v>
      </c>
      <c r="E3" s="2" t="s">
        <v>7</v>
      </c>
      <c r="F3" s="2">
        <v>28.5</v>
      </c>
      <c r="G3" s="2" t="s">
        <v>8</v>
      </c>
      <c r="H3" s="2" t="str" cm="1">
        <f t="array" ref="H3">_xlfn.IFS(B3&lt;=N$4,"No Disease", F3&gt;N$5,"Heart Disease", G3=N$6, "Heart Disease", TRUE,"No Disease")</f>
        <v>Heart Disease</v>
      </c>
      <c r="I3" s="2" t="s">
        <v>9</v>
      </c>
      <c r="J3" s="4" t="str">
        <f>IF(H3=I3,"Yes-1","No-0")</f>
        <v>Yes-1</v>
      </c>
      <c r="M3" s="7" t="s">
        <v>43</v>
      </c>
      <c r="N3" s="8"/>
      <c r="O3" s="8"/>
      <c r="P3" s="8"/>
      <c r="Q3" s="9"/>
    </row>
    <row r="4" spans="1:17" x14ac:dyDescent="0.3">
      <c r="A4" s="112">
        <v>2</v>
      </c>
      <c r="B4" s="2">
        <v>60</v>
      </c>
      <c r="C4" s="2">
        <v>150</v>
      </c>
      <c r="D4" s="2">
        <v>95</v>
      </c>
      <c r="E4" s="2" t="s">
        <v>7</v>
      </c>
      <c r="F4" s="2">
        <v>31.2</v>
      </c>
      <c r="G4" s="2" t="s">
        <v>7</v>
      </c>
      <c r="H4" s="2" t="str" cm="1">
        <f t="array" ref="H4">_xlfn.IFS(B4&lt;=N$4,"No Disease", F4&gt;N$5,"Heart Disease", G4=N$6, "Heart Disease", TRUE,"No Disease")</f>
        <v>Heart Disease</v>
      </c>
      <c r="I4" s="2" t="s">
        <v>9</v>
      </c>
      <c r="J4" s="4" t="str">
        <f t="shared" ref="J4:J34" si="0">IF(H4=I4,"Yes-1","No-0")</f>
        <v>Yes-1</v>
      </c>
      <c r="M4" s="10" t="s">
        <v>45</v>
      </c>
      <c r="N4" s="11">
        <v>36</v>
      </c>
      <c r="O4" s="12" t="s">
        <v>41</v>
      </c>
      <c r="P4" s="12"/>
      <c r="Q4" s="13"/>
    </row>
    <row r="5" spans="1:17" x14ac:dyDescent="0.3">
      <c r="A5" s="112">
        <v>3</v>
      </c>
      <c r="B5" s="2">
        <v>35</v>
      </c>
      <c r="C5" s="2">
        <v>120</v>
      </c>
      <c r="D5" s="2">
        <v>80</v>
      </c>
      <c r="E5" s="2" t="s">
        <v>8</v>
      </c>
      <c r="F5" s="2">
        <v>24.1</v>
      </c>
      <c r="G5" s="2" t="s">
        <v>8</v>
      </c>
      <c r="H5" s="2" t="str" cm="1">
        <f t="array" ref="H5">_xlfn.IFS(B5&lt;=N$4,"No Disease", F5&gt;N$5,"Heart Disease", G5=N$6, "Heart Disease", TRUE,"No Disease")</f>
        <v>No Disease</v>
      </c>
      <c r="I5" s="2" t="s">
        <v>10</v>
      </c>
      <c r="J5" s="4" t="str">
        <f t="shared" si="0"/>
        <v>Yes-1</v>
      </c>
      <c r="M5" s="10" t="s">
        <v>46</v>
      </c>
      <c r="N5" s="11">
        <v>25.25</v>
      </c>
      <c r="O5" s="12" t="s">
        <v>42</v>
      </c>
      <c r="P5" s="12"/>
      <c r="Q5" s="13"/>
    </row>
    <row r="6" spans="1:17" x14ac:dyDescent="0.3">
      <c r="A6" s="112">
        <v>4</v>
      </c>
      <c r="B6" s="2">
        <v>50</v>
      </c>
      <c r="C6" s="2">
        <v>140</v>
      </c>
      <c r="D6" s="2">
        <v>90</v>
      </c>
      <c r="E6" s="2" t="s">
        <v>7</v>
      </c>
      <c r="F6" s="2">
        <v>29.8</v>
      </c>
      <c r="G6" s="2" t="s">
        <v>8</v>
      </c>
      <c r="H6" s="2" t="str" cm="1">
        <f t="array" ref="H6">_xlfn.IFS(B6&lt;=N$4,"No Disease", F6&gt;N$5,"Heart Disease", G6=N$6, "Heart Disease", TRUE,"No Disease")</f>
        <v>Heart Disease</v>
      </c>
      <c r="I6" s="2" t="s">
        <v>9</v>
      </c>
      <c r="J6" s="4" t="str">
        <f t="shared" si="0"/>
        <v>Yes-1</v>
      </c>
      <c r="M6" s="10" t="s">
        <v>47</v>
      </c>
      <c r="N6" s="11" t="s">
        <v>7</v>
      </c>
      <c r="O6" s="12" t="s">
        <v>42</v>
      </c>
      <c r="P6" s="12"/>
      <c r="Q6" s="13"/>
    </row>
    <row r="7" spans="1:17" x14ac:dyDescent="0.3">
      <c r="A7" s="112">
        <v>5</v>
      </c>
      <c r="B7" s="2">
        <v>28</v>
      </c>
      <c r="C7" s="2">
        <v>110</v>
      </c>
      <c r="D7" s="2">
        <v>70</v>
      </c>
      <c r="E7" s="2" t="s">
        <v>8</v>
      </c>
      <c r="F7" s="2">
        <v>22.5</v>
      </c>
      <c r="G7" s="2" t="s">
        <v>8</v>
      </c>
      <c r="H7" s="2" t="str" cm="1">
        <f t="array" ref="H7">_xlfn.IFS(B7&lt;=N$4,"No Disease", F7&gt;N$5,"Heart Disease", G7=N$6, "Heart Disease", TRUE,"No Disease")</f>
        <v>No Disease</v>
      </c>
      <c r="I7" s="2" t="s">
        <v>10</v>
      </c>
      <c r="J7" s="4" t="str">
        <f t="shared" si="0"/>
        <v>Yes-1</v>
      </c>
      <c r="M7" s="14" t="s">
        <v>44</v>
      </c>
      <c r="N7" s="15"/>
      <c r="O7" s="16" t="s">
        <v>41</v>
      </c>
      <c r="P7" s="16"/>
      <c r="Q7" s="17"/>
    </row>
    <row r="8" spans="1:17" x14ac:dyDescent="0.3">
      <c r="A8" s="112">
        <v>6</v>
      </c>
      <c r="B8" s="2">
        <v>53</v>
      </c>
      <c r="C8" s="2">
        <v>125</v>
      </c>
      <c r="D8" s="2">
        <v>79</v>
      </c>
      <c r="E8" s="2" t="s">
        <v>8</v>
      </c>
      <c r="F8" s="2">
        <v>26.4</v>
      </c>
      <c r="G8" s="2" t="s">
        <v>8</v>
      </c>
      <c r="H8" s="2" t="str" cm="1">
        <f t="array" ref="H8">_xlfn.IFS(B8&lt;=N$4,"No Disease", F8&gt;N$5,"Heart Disease", G8=N$6, "Heart Disease", TRUE,"No Disease")</f>
        <v>Heart Disease</v>
      </c>
      <c r="I8" s="2" t="s">
        <v>9</v>
      </c>
      <c r="J8" s="4" t="str">
        <f t="shared" si="0"/>
        <v>Yes-1</v>
      </c>
    </row>
    <row r="9" spans="1:17" x14ac:dyDescent="0.3">
      <c r="A9" s="112">
        <v>7</v>
      </c>
      <c r="B9" s="2">
        <v>51</v>
      </c>
      <c r="C9" s="2">
        <v>120</v>
      </c>
      <c r="D9" s="2">
        <v>74</v>
      </c>
      <c r="E9" s="2" t="s">
        <v>8</v>
      </c>
      <c r="F9" s="2">
        <v>31</v>
      </c>
      <c r="G9" s="2" t="s">
        <v>7</v>
      </c>
      <c r="H9" s="2" t="str" cm="1">
        <f t="array" ref="H9">_xlfn.IFS(B9&lt;=N$4,"No Disease", F9&gt;N$5,"Heart Disease", G9=N$6, "Heart Disease", TRUE,"No Disease")</f>
        <v>Heart Disease</v>
      </c>
      <c r="I9" s="2" t="s">
        <v>9</v>
      </c>
      <c r="J9" s="4" t="str">
        <f t="shared" si="0"/>
        <v>Yes-1</v>
      </c>
    </row>
    <row r="10" spans="1:17" x14ac:dyDescent="0.3">
      <c r="A10" s="112">
        <v>8</v>
      </c>
      <c r="B10" s="2">
        <v>50</v>
      </c>
      <c r="C10" s="2">
        <v>114</v>
      </c>
      <c r="D10" s="2">
        <v>74</v>
      </c>
      <c r="E10" s="2" t="s">
        <v>8</v>
      </c>
      <c r="F10" s="2">
        <v>19.3</v>
      </c>
      <c r="G10" s="2" t="s">
        <v>7</v>
      </c>
      <c r="H10" s="2" t="str" cm="1">
        <f t="array" ref="H10">_xlfn.IFS(B10&lt;=N$4,"No Disease", F10&gt;N$5,"Heart Disease", G10=N$6, "Heart Disease", TRUE,"No Disease")</f>
        <v>Heart Disease</v>
      </c>
      <c r="I10" s="2" t="s">
        <v>9</v>
      </c>
      <c r="J10" s="4" t="str">
        <f t="shared" si="0"/>
        <v>Yes-1</v>
      </c>
    </row>
    <row r="11" spans="1:17" x14ac:dyDescent="0.3">
      <c r="A11" s="112">
        <v>9</v>
      </c>
      <c r="B11" s="2">
        <v>39</v>
      </c>
      <c r="C11" s="2">
        <v>153</v>
      </c>
      <c r="D11" s="2">
        <v>99</v>
      </c>
      <c r="E11" s="2" t="s">
        <v>8</v>
      </c>
      <c r="F11" s="2">
        <v>18.399999999999999</v>
      </c>
      <c r="G11" s="2" t="s">
        <v>7</v>
      </c>
      <c r="H11" s="2" t="str" cm="1">
        <f t="array" ref="H11">_xlfn.IFS(B11&lt;=N$4,"No Disease", F11&gt;N$5,"Heart Disease", G11=N$6, "Heart Disease", TRUE,"No Disease")</f>
        <v>Heart Disease</v>
      </c>
      <c r="I11" s="2" t="s">
        <v>9</v>
      </c>
      <c r="J11" s="4" t="str">
        <f t="shared" si="0"/>
        <v>Yes-1</v>
      </c>
    </row>
    <row r="12" spans="1:17" x14ac:dyDescent="0.3">
      <c r="A12" s="112">
        <v>10</v>
      </c>
      <c r="B12" s="2">
        <v>34</v>
      </c>
      <c r="C12" s="2">
        <v>123</v>
      </c>
      <c r="D12" s="2">
        <v>77</v>
      </c>
      <c r="E12" s="2" t="s">
        <v>7</v>
      </c>
      <c r="F12" s="2">
        <v>28.5</v>
      </c>
      <c r="G12" s="2" t="s">
        <v>8</v>
      </c>
      <c r="H12" s="2" t="str" cm="1">
        <f t="array" ref="H12">_xlfn.IFS(B12&lt;=N$4,"No Disease", F12&gt;N$5,"Heart Disease", G12=N$6, "Heart Disease", TRUE,"No Disease")</f>
        <v>No Disease</v>
      </c>
      <c r="I12" s="2" t="s">
        <v>10</v>
      </c>
      <c r="J12" s="4" t="str">
        <f t="shared" si="0"/>
        <v>Yes-1</v>
      </c>
    </row>
    <row r="13" spans="1:17" x14ac:dyDescent="0.3">
      <c r="A13" s="112">
        <v>11</v>
      </c>
      <c r="B13" s="2">
        <v>35</v>
      </c>
      <c r="C13" s="2">
        <v>118</v>
      </c>
      <c r="D13" s="2">
        <v>77</v>
      </c>
      <c r="E13" s="2" t="s">
        <v>8</v>
      </c>
      <c r="F13" s="2">
        <v>26.4</v>
      </c>
      <c r="G13" s="2" t="s">
        <v>7</v>
      </c>
      <c r="H13" s="2" t="str" cm="1">
        <f t="array" ref="H13">_xlfn.IFS(B13&lt;=N$4,"No Disease", F13&gt;N$5,"Heart Disease", G13=N$6, "Heart Disease", TRUE,"No Disease")</f>
        <v>No Disease</v>
      </c>
      <c r="I13" s="2" t="s">
        <v>10</v>
      </c>
      <c r="J13" s="4" t="str">
        <f t="shared" si="0"/>
        <v>Yes-1</v>
      </c>
    </row>
    <row r="14" spans="1:17" ht="15" thickBot="1" x14ac:dyDescent="0.35">
      <c r="A14" s="112">
        <v>12</v>
      </c>
      <c r="B14" s="2">
        <v>50</v>
      </c>
      <c r="C14" s="2">
        <v>135</v>
      </c>
      <c r="D14" s="2">
        <v>87</v>
      </c>
      <c r="E14" s="2" t="s">
        <v>8</v>
      </c>
      <c r="F14" s="2">
        <v>19.2</v>
      </c>
      <c r="G14" s="2" t="s">
        <v>7</v>
      </c>
      <c r="H14" s="2" t="str" cm="1">
        <f t="array" ref="H14">_xlfn.IFS(B14&lt;=N$4,"No Disease", F14&gt;N$5,"Heart Disease", G14=N$6, "Heart Disease", TRUE,"No Disease")</f>
        <v>Heart Disease</v>
      </c>
      <c r="I14" s="2" t="s">
        <v>9</v>
      </c>
      <c r="J14" s="4" t="str">
        <f t="shared" si="0"/>
        <v>Yes-1</v>
      </c>
    </row>
    <row r="15" spans="1:17" ht="28.8" x14ac:dyDescent="0.55000000000000004">
      <c r="A15" s="112">
        <v>13</v>
      </c>
      <c r="B15" s="2">
        <v>35</v>
      </c>
      <c r="C15" s="2">
        <v>114</v>
      </c>
      <c r="D15" s="2">
        <v>69</v>
      </c>
      <c r="E15" s="2" t="s">
        <v>7</v>
      </c>
      <c r="F15" s="2">
        <v>20.7</v>
      </c>
      <c r="G15" s="2" t="s">
        <v>8</v>
      </c>
      <c r="H15" s="2" t="str" cm="1">
        <f t="array" ref="H15">_xlfn.IFS(B15&lt;=N$4,"No Disease", F15&gt;N$5,"Heart Disease", G15=N$6, "Heart Disease", TRUE,"No Disease")</f>
        <v>No Disease</v>
      </c>
      <c r="I15" s="2" t="s">
        <v>10</v>
      </c>
      <c r="J15" s="4" t="str">
        <f t="shared" si="0"/>
        <v>Yes-1</v>
      </c>
      <c r="M15" s="90" t="s">
        <v>90</v>
      </c>
      <c r="N15" s="91"/>
      <c r="O15" s="92"/>
    </row>
    <row r="16" spans="1:17" x14ac:dyDescent="0.3">
      <c r="A16" s="112">
        <v>14</v>
      </c>
      <c r="B16" s="2">
        <v>51</v>
      </c>
      <c r="C16" s="2">
        <v>129</v>
      </c>
      <c r="D16" s="2">
        <v>85</v>
      </c>
      <c r="E16" s="2" t="s">
        <v>7</v>
      </c>
      <c r="F16" s="2">
        <v>25.5</v>
      </c>
      <c r="G16" s="2" t="s">
        <v>8</v>
      </c>
      <c r="H16" s="2" t="str" cm="1">
        <f t="array" ref="H16">_xlfn.IFS(B16&lt;=N$4,"No Disease", F16&gt;N$5,"Heart Disease", G16=N$6, "Heart Disease", TRUE,"No Disease")</f>
        <v>Heart Disease</v>
      </c>
      <c r="I16" s="2" t="s">
        <v>9</v>
      </c>
      <c r="J16" s="4" t="str">
        <f t="shared" si="0"/>
        <v>Yes-1</v>
      </c>
      <c r="M16" s="93" t="s">
        <v>98</v>
      </c>
      <c r="N16" s="123">
        <f>COUNTIF(H3:H34,"Heart Disease")</f>
        <v>22</v>
      </c>
      <c r="O16" s="124"/>
    </row>
    <row r="17" spans="1:15" ht="15" thickBot="1" x14ac:dyDescent="0.35">
      <c r="A17" s="112">
        <v>15</v>
      </c>
      <c r="B17" s="2">
        <v>54</v>
      </c>
      <c r="C17" s="2">
        <v>126</v>
      </c>
      <c r="D17" s="2">
        <v>78</v>
      </c>
      <c r="E17" s="2" t="s">
        <v>8</v>
      </c>
      <c r="F17" s="2">
        <v>30.6</v>
      </c>
      <c r="G17" s="2" t="s">
        <v>8</v>
      </c>
      <c r="H17" s="2" t="str" cm="1">
        <f t="array" ref="H17">_xlfn.IFS(B17&lt;=N$4,"No Disease", F17&gt;N$5,"Heart Disease", G17=N$6, "Heart Disease", TRUE,"No Disease")</f>
        <v>Heart Disease</v>
      </c>
      <c r="I17" s="2" t="s">
        <v>9</v>
      </c>
      <c r="J17" s="4" t="str">
        <f t="shared" si="0"/>
        <v>Yes-1</v>
      </c>
      <c r="M17" s="95" t="s">
        <v>97</v>
      </c>
      <c r="N17" s="125">
        <f>COUNTIF(H3:H34,"No Disease")</f>
        <v>10</v>
      </c>
      <c r="O17" s="126"/>
    </row>
    <row r="18" spans="1:15" x14ac:dyDescent="0.3">
      <c r="A18" s="112">
        <v>16</v>
      </c>
      <c r="B18" s="2">
        <v>51</v>
      </c>
      <c r="C18" s="2">
        <v>124</v>
      </c>
      <c r="D18" s="2">
        <v>74</v>
      </c>
      <c r="E18" s="2" t="s">
        <v>7</v>
      </c>
      <c r="F18" s="2">
        <v>30.9</v>
      </c>
      <c r="G18" s="2" t="s">
        <v>7</v>
      </c>
      <c r="H18" s="2" t="str" cm="1">
        <f t="array" ref="H18">_xlfn.IFS(B18&lt;=N$4,"No Disease", F18&gt;N$5,"Heart Disease", G18=N$6, "Heart Disease", TRUE,"No Disease")</f>
        <v>Heart Disease</v>
      </c>
      <c r="I18" s="2" t="s">
        <v>9</v>
      </c>
      <c r="J18" s="4" t="str">
        <f t="shared" si="0"/>
        <v>Yes-1</v>
      </c>
    </row>
    <row r="19" spans="1:15" x14ac:dyDescent="0.3">
      <c r="A19" s="112">
        <v>17</v>
      </c>
      <c r="B19" s="2">
        <v>58</v>
      </c>
      <c r="C19" s="2">
        <v>141</v>
      </c>
      <c r="D19" s="2">
        <v>93</v>
      </c>
      <c r="E19" s="2" t="s">
        <v>8</v>
      </c>
      <c r="F19" s="2">
        <v>28.2</v>
      </c>
      <c r="G19" s="2" t="s">
        <v>7</v>
      </c>
      <c r="H19" s="2" t="str" cm="1">
        <f t="array" ref="H19">_xlfn.IFS(B19&lt;=N$4,"No Disease", F19&gt;N$5,"Heart Disease", G19=N$6, "Heart Disease", TRUE,"No Disease")</f>
        <v>Heart Disease</v>
      </c>
      <c r="I19" s="2" t="s">
        <v>9</v>
      </c>
      <c r="J19" s="4" t="str">
        <f t="shared" si="0"/>
        <v>Yes-1</v>
      </c>
    </row>
    <row r="20" spans="1:15" x14ac:dyDescent="0.3">
      <c r="A20" s="112">
        <v>18</v>
      </c>
      <c r="B20" s="2">
        <v>47</v>
      </c>
      <c r="C20" s="2">
        <v>126</v>
      </c>
      <c r="D20" s="2">
        <v>79</v>
      </c>
      <c r="E20" s="2" t="s">
        <v>8</v>
      </c>
      <c r="F20" s="2">
        <v>33.299999999999997</v>
      </c>
      <c r="G20" s="2" t="s">
        <v>8</v>
      </c>
      <c r="H20" s="2" t="str" cm="1">
        <f t="array" ref="H20">_xlfn.IFS(B20&lt;=N$4,"No Disease", F20&gt;N$5,"Heart Disease", G20=N$6, "Heart Disease", TRUE,"No Disease")</f>
        <v>Heart Disease</v>
      </c>
      <c r="I20" s="2" t="s">
        <v>9</v>
      </c>
      <c r="J20" s="4" t="str">
        <f t="shared" si="0"/>
        <v>Yes-1</v>
      </c>
    </row>
    <row r="21" spans="1:15" x14ac:dyDescent="0.3">
      <c r="A21" s="112">
        <v>19</v>
      </c>
      <c r="B21" s="2">
        <v>58</v>
      </c>
      <c r="C21" s="2">
        <v>130</v>
      </c>
      <c r="D21" s="2">
        <v>86</v>
      </c>
      <c r="E21" s="2" t="s">
        <v>7</v>
      </c>
      <c r="F21" s="2">
        <v>27.1</v>
      </c>
      <c r="G21" s="2" t="s">
        <v>8</v>
      </c>
      <c r="H21" s="2" t="str" cm="1">
        <f t="array" ref="H21">_xlfn.IFS(B21&lt;=N$4,"No Disease", F21&gt;N$5,"Heart Disease", G21=N$6, "Heart Disease", TRUE,"No Disease")</f>
        <v>Heart Disease</v>
      </c>
      <c r="I21" s="2" t="s">
        <v>9</v>
      </c>
      <c r="J21" s="4" t="str">
        <f t="shared" si="0"/>
        <v>Yes-1</v>
      </c>
    </row>
    <row r="22" spans="1:15" x14ac:dyDescent="0.3">
      <c r="A22" s="112">
        <v>20</v>
      </c>
      <c r="B22" s="2">
        <v>38</v>
      </c>
      <c r="C22" s="2">
        <v>133</v>
      </c>
      <c r="D22" s="2">
        <v>86</v>
      </c>
      <c r="E22" s="2" t="s">
        <v>8</v>
      </c>
      <c r="F22" s="2">
        <v>25</v>
      </c>
      <c r="G22" s="2" t="s">
        <v>8</v>
      </c>
      <c r="H22" s="2" t="str" cm="1">
        <f t="array" ref="H22">_xlfn.IFS(B22&lt;=N$4,"No Disease", F22&gt;N$5,"Heart Disease", G22=N$6, "Heart Disease", TRUE,"No Disease")</f>
        <v>No Disease</v>
      </c>
      <c r="I22" s="2" t="s">
        <v>10</v>
      </c>
      <c r="J22" s="4" t="str">
        <f t="shared" si="0"/>
        <v>Yes-1</v>
      </c>
    </row>
    <row r="23" spans="1:15" x14ac:dyDescent="0.3">
      <c r="A23" s="112">
        <v>21</v>
      </c>
      <c r="B23" s="2">
        <v>64</v>
      </c>
      <c r="C23" s="2">
        <v>129</v>
      </c>
      <c r="D23" s="2">
        <v>81</v>
      </c>
      <c r="E23" s="2" t="s">
        <v>8</v>
      </c>
      <c r="F23" s="2">
        <v>27.7</v>
      </c>
      <c r="G23" s="2" t="s">
        <v>8</v>
      </c>
      <c r="H23" s="2" t="str" cm="1">
        <f t="array" ref="H23">_xlfn.IFS(B23&lt;=N$4,"No Disease", F23&gt;N$5,"Heart Disease", G23=N$6, "Heart Disease", TRUE,"No Disease")</f>
        <v>Heart Disease</v>
      </c>
      <c r="I23" s="2" t="s">
        <v>9</v>
      </c>
      <c r="J23" s="4" t="str">
        <f t="shared" si="0"/>
        <v>Yes-1</v>
      </c>
    </row>
    <row r="24" spans="1:15" x14ac:dyDescent="0.3">
      <c r="A24" s="112">
        <v>22</v>
      </c>
      <c r="B24" s="2">
        <v>51</v>
      </c>
      <c r="C24" s="2">
        <v>120</v>
      </c>
      <c r="D24" s="2">
        <v>75</v>
      </c>
      <c r="E24" s="2" t="s">
        <v>7</v>
      </c>
      <c r="F24" s="2">
        <v>28</v>
      </c>
      <c r="G24" s="2" t="s">
        <v>8</v>
      </c>
      <c r="H24" s="2" t="str" cm="1">
        <f t="array" ref="H24">_xlfn.IFS(B24&lt;=N$4,"No Disease", F24&gt;N$5,"Heart Disease", G24=N$6, "Heart Disease", TRUE,"No Disease")</f>
        <v>Heart Disease</v>
      </c>
      <c r="I24" s="2" t="s">
        <v>9</v>
      </c>
      <c r="J24" s="4" t="str">
        <f t="shared" si="0"/>
        <v>Yes-1</v>
      </c>
    </row>
    <row r="25" spans="1:15" x14ac:dyDescent="0.3">
      <c r="A25" s="112">
        <v>23</v>
      </c>
      <c r="B25" s="2">
        <v>53</v>
      </c>
      <c r="C25" s="2">
        <v>126</v>
      </c>
      <c r="D25" s="2">
        <v>86</v>
      </c>
      <c r="E25" s="2" t="s">
        <v>7</v>
      </c>
      <c r="F25" s="2">
        <v>26.3</v>
      </c>
      <c r="G25" s="2" t="s">
        <v>8</v>
      </c>
      <c r="H25" s="2" t="str" cm="1">
        <f t="array" ref="H25">_xlfn.IFS(B25&lt;=N$4,"No Disease", F25&gt;N$5,"Heart Disease", G25=N$6, "Heart Disease", TRUE,"No Disease")</f>
        <v>Heart Disease</v>
      </c>
      <c r="I25" s="2" t="s">
        <v>10</v>
      </c>
      <c r="J25" s="4" t="str">
        <f t="shared" si="0"/>
        <v>No-0</v>
      </c>
    </row>
    <row r="26" spans="1:15" x14ac:dyDescent="0.3">
      <c r="A26" s="112">
        <v>24</v>
      </c>
      <c r="B26" s="2">
        <v>24</v>
      </c>
      <c r="C26" s="2">
        <v>127</v>
      </c>
      <c r="D26" s="2">
        <v>91</v>
      </c>
      <c r="E26" s="2" t="s">
        <v>7</v>
      </c>
      <c r="F26" s="2">
        <v>26.9</v>
      </c>
      <c r="G26" s="2" t="s">
        <v>7</v>
      </c>
      <c r="H26" s="2" t="str" cm="1">
        <f t="array" ref="H26">_xlfn.IFS(B26&lt;=N$4,"No Disease", F26&gt;N$5,"Heart Disease", G26=N$6, "Heart Disease", TRUE,"No Disease")</f>
        <v>No Disease</v>
      </c>
      <c r="I26" s="2" t="s">
        <v>9</v>
      </c>
      <c r="J26" s="4" t="str">
        <f t="shared" si="0"/>
        <v>No-0</v>
      </c>
    </row>
    <row r="27" spans="1:15" x14ac:dyDescent="0.3">
      <c r="A27" s="112">
        <v>25</v>
      </c>
      <c r="B27" s="2">
        <v>53</v>
      </c>
      <c r="C27" s="2">
        <v>142</v>
      </c>
      <c r="D27" s="2">
        <v>90</v>
      </c>
      <c r="E27" s="2" t="s">
        <v>7</v>
      </c>
      <c r="F27" s="2">
        <v>26</v>
      </c>
      <c r="G27" s="2" t="s">
        <v>7</v>
      </c>
      <c r="H27" s="2" t="str" cm="1">
        <f t="array" ref="H27">_xlfn.IFS(B27&lt;=N$4,"No Disease", F27&gt;N$5,"Heart Disease", G27=N$6, "Heart Disease", TRUE,"No Disease")</f>
        <v>Heart Disease</v>
      </c>
      <c r="I27" s="2" t="s">
        <v>9</v>
      </c>
      <c r="J27" s="4" t="str">
        <f t="shared" si="0"/>
        <v>Yes-1</v>
      </c>
    </row>
    <row r="28" spans="1:15" x14ac:dyDescent="0.3">
      <c r="A28" s="112">
        <v>26</v>
      </c>
      <c r="B28" s="2">
        <v>61</v>
      </c>
      <c r="C28" s="2">
        <v>158</v>
      </c>
      <c r="D28" s="2">
        <v>95</v>
      </c>
      <c r="E28" s="2" t="s">
        <v>7</v>
      </c>
      <c r="F28" s="2">
        <v>30</v>
      </c>
      <c r="G28" s="2" t="s">
        <v>8</v>
      </c>
      <c r="H28" s="2" t="str" cm="1">
        <f t="array" ref="H28">_xlfn.IFS(B28&lt;=N$4,"No Disease", F28&gt;N$5,"Heart Disease", G28=N$6, "Heart Disease", TRUE,"No Disease")</f>
        <v>Heart Disease</v>
      </c>
      <c r="I28" s="2" t="s">
        <v>9</v>
      </c>
      <c r="J28" s="4" t="str">
        <f t="shared" si="0"/>
        <v>Yes-1</v>
      </c>
    </row>
    <row r="29" spans="1:15" x14ac:dyDescent="0.3">
      <c r="A29" s="112">
        <v>27</v>
      </c>
      <c r="B29" s="2">
        <v>37</v>
      </c>
      <c r="C29" s="2">
        <v>142</v>
      </c>
      <c r="D29" s="2">
        <v>94</v>
      </c>
      <c r="E29" s="2" t="s">
        <v>8</v>
      </c>
      <c r="F29" s="2">
        <v>27.3</v>
      </c>
      <c r="G29" s="2" t="s">
        <v>8</v>
      </c>
      <c r="H29" s="2" t="str" cm="1">
        <f t="array" ref="H29">_xlfn.IFS(B29&lt;=N$4,"No Disease", F29&gt;N$5,"Heart Disease", G29=N$6, "Heart Disease", TRUE,"No Disease")</f>
        <v>Heart Disease</v>
      </c>
      <c r="I29" s="2" t="s">
        <v>9</v>
      </c>
      <c r="J29" s="4" t="str">
        <f t="shared" si="0"/>
        <v>Yes-1</v>
      </c>
    </row>
    <row r="30" spans="1:15" x14ac:dyDescent="0.3">
      <c r="A30" s="112">
        <v>28</v>
      </c>
      <c r="B30" s="2">
        <v>29</v>
      </c>
      <c r="C30" s="2">
        <v>107</v>
      </c>
      <c r="D30" s="2">
        <v>74</v>
      </c>
      <c r="E30" s="2" t="s">
        <v>8</v>
      </c>
      <c r="F30" s="2">
        <v>27.3</v>
      </c>
      <c r="G30" s="2" t="s">
        <v>7</v>
      </c>
      <c r="H30" s="2" t="str" cm="1">
        <f t="array" ref="H30">_xlfn.IFS(B30&lt;=N$4,"No Disease", F30&gt;N$5,"Heart Disease", G30=N$6, "Heart Disease", TRUE,"No Disease")</f>
        <v>No Disease</v>
      </c>
      <c r="I30" s="2" t="s">
        <v>10</v>
      </c>
      <c r="J30" s="4" t="str">
        <f t="shared" si="0"/>
        <v>Yes-1</v>
      </c>
    </row>
    <row r="31" spans="1:15" x14ac:dyDescent="0.3">
      <c r="A31" s="112">
        <v>29</v>
      </c>
      <c r="B31" s="2">
        <v>43</v>
      </c>
      <c r="C31" s="2">
        <v>129</v>
      </c>
      <c r="D31" s="2">
        <v>84</v>
      </c>
      <c r="E31" s="2" t="s">
        <v>7</v>
      </c>
      <c r="F31" s="2">
        <v>23.5</v>
      </c>
      <c r="G31" s="2" t="s">
        <v>8</v>
      </c>
      <c r="H31" s="2" t="str" cm="1">
        <f t="array" ref="H31">_xlfn.IFS(B31&lt;=N$4,"No Disease", F31&gt;N$5,"Heart Disease", G31=N$6, "Heart Disease", TRUE,"No Disease")</f>
        <v>No Disease</v>
      </c>
      <c r="I31" s="2" t="s">
        <v>10</v>
      </c>
      <c r="J31" s="4" t="str">
        <f t="shared" si="0"/>
        <v>Yes-1</v>
      </c>
    </row>
    <row r="32" spans="1:15" x14ac:dyDescent="0.3">
      <c r="A32" s="112">
        <v>30</v>
      </c>
      <c r="B32" s="2">
        <v>50</v>
      </c>
      <c r="C32" s="2">
        <v>130</v>
      </c>
      <c r="D32" s="2">
        <v>86</v>
      </c>
      <c r="E32" s="2" t="s">
        <v>8</v>
      </c>
      <c r="F32" s="2">
        <v>32.200000000000003</v>
      </c>
      <c r="G32" s="2" t="s">
        <v>7</v>
      </c>
      <c r="H32" s="2" t="str" cm="1">
        <f t="array" ref="H32">_xlfn.IFS(B32&lt;=N$4,"No Disease", F32&gt;N$5,"Heart Disease", G32=N$6, "Heart Disease", TRUE,"No Disease")</f>
        <v>Heart Disease</v>
      </c>
      <c r="I32" s="2" t="s">
        <v>9</v>
      </c>
      <c r="J32" s="4" t="str">
        <f t="shared" si="0"/>
        <v>Yes-1</v>
      </c>
    </row>
    <row r="33" spans="1:11" x14ac:dyDescent="0.3">
      <c r="A33" s="112">
        <v>31</v>
      </c>
      <c r="B33" s="2">
        <v>63</v>
      </c>
      <c r="C33" s="2">
        <v>139</v>
      </c>
      <c r="D33" s="2">
        <v>93</v>
      </c>
      <c r="E33" s="2" t="s">
        <v>8</v>
      </c>
      <c r="F33" s="2">
        <v>23.5</v>
      </c>
      <c r="G33" s="2" t="s">
        <v>8</v>
      </c>
      <c r="H33" s="2" t="str" cm="1">
        <f t="array" ref="H33">_xlfn.IFS(B33&lt;=N$4,"No Disease", F33&gt;N$5,"Heart Disease", G33=N$6, "Heart Disease", TRUE,"No Disease")</f>
        <v>No Disease</v>
      </c>
      <c r="I33" s="2" t="s">
        <v>9</v>
      </c>
      <c r="J33" s="4" t="str">
        <f t="shared" si="0"/>
        <v>No-0</v>
      </c>
    </row>
    <row r="34" spans="1:11" x14ac:dyDescent="0.3">
      <c r="A34" s="112">
        <v>32</v>
      </c>
      <c r="B34" s="2">
        <v>51</v>
      </c>
      <c r="C34" s="2">
        <v>159</v>
      </c>
      <c r="D34" s="2">
        <v>103</v>
      </c>
      <c r="E34" s="2" t="s">
        <v>7</v>
      </c>
      <c r="F34" s="2">
        <v>24.1</v>
      </c>
      <c r="G34" s="2" t="s">
        <v>7</v>
      </c>
      <c r="H34" s="2" t="str" cm="1">
        <f t="array" ref="H34">_xlfn.IFS(B34&lt;=N$4,"No Disease", F34&gt;N$5,"Heart Disease", G34=N$6, "Heart Disease", TRUE,"No Disease")</f>
        <v>Heart Disease</v>
      </c>
      <c r="I34" s="2" t="s">
        <v>9</v>
      </c>
      <c r="J34" s="4" t="str">
        <f t="shared" si="0"/>
        <v>Yes-1</v>
      </c>
    </row>
    <row r="35" spans="1:11" x14ac:dyDescent="0.3">
      <c r="A35" s="122"/>
      <c r="J35" s="4"/>
    </row>
    <row r="36" spans="1:11" x14ac:dyDescent="0.3">
      <c r="A36" s="122"/>
      <c r="J36" s="4"/>
    </row>
    <row r="37" spans="1:11" ht="15" thickBot="1" x14ac:dyDescent="0.35">
      <c r="A37" s="5"/>
      <c r="B37" s="3"/>
      <c r="C37" s="3"/>
      <c r="D37" s="3"/>
      <c r="E37" s="3"/>
      <c r="F37" s="3"/>
      <c r="G37" s="3"/>
      <c r="H37" s="3"/>
      <c r="I37" s="3"/>
      <c r="J37" s="6"/>
    </row>
    <row r="39" spans="1:11" ht="15" thickBot="1" x14ac:dyDescent="0.35"/>
    <row r="40" spans="1:11" ht="28.8" x14ac:dyDescent="0.55000000000000004">
      <c r="A40" s="142" t="s">
        <v>92</v>
      </c>
      <c r="B40" s="143"/>
      <c r="C40" s="46" t="s">
        <v>62</v>
      </c>
      <c r="D40" s="47" t="s">
        <v>63</v>
      </c>
      <c r="H40" s="89" t="s">
        <v>92</v>
      </c>
      <c r="I40" s="53" t="s">
        <v>62</v>
      </c>
      <c r="J40" s="54" t="s">
        <v>63</v>
      </c>
    </row>
    <row r="41" spans="1:11" ht="23.4" x14ac:dyDescent="0.45">
      <c r="A41" s="144" t="s">
        <v>60</v>
      </c>
      <c r="B41" s="145"/>
      <c r="C41" s="48" t="s">
        <v>81</v>
      </c>
      <c r="D41" s="49" t="s">
        <v>84</v>
      </c>
      <c r="H41" s="55" t="s">
        <v>60</v>
      </c>
      <c r="I41" s="35">
        <f>COUNTIFS(H3:H34,"Heart Disease",I3:I34,"Heart Disease")</f>
        <v>21</v>
      </c>
      <c r="J41" s="56">
        <f>COUNTIFS(H3:H34,"No Disease",I3:I34,"Heart Disease")</f>
        <v>2</v>
      </c>
    </row>
    <row r="42" spans="1:11" ht="24" thickBot="1" x14ac:dyDescent="0.5">
      <c r="A42" s="146" t="s">
        <v>61</v>
      </c>
      <c r="B42" s="147"/>
      <c r="C42" s="50" t="s">
        <v>82</v>
      </c>
      <c r="D42" s="51" t="s">
        <v>83</v>
      </c>
      <c r="H42" s="57" t="s">
        <v>61</v>
      </c>
      <c r="I42" s="36">
        <f>COUNTIFS(H3:H34,"Heart Disease",I3:I34,"No Disease")</f>
        <v>1</v>
      </c>
      <c r="J42" s="58">
        <f>COUNTIFS(H3:H34,"No Disease",I3:I34,"No Disease")</f>
        <v>8</v>
      </c>
    </row>
    <row r="43" spans="1:11" ht="15" thickBot="1" x14ac:dyDescent="0.35"/>
    <row r="44" spans="1:11" ht="78" x14ac:dyDescent="0.55000000000000004">
      <c r="A44" s="98" t="s">
        <v>77</v>
      </c>
      <c r="B44" s="34" t="s">
        <v>78</v>
      </c>
      <c r="C44" s="150" t="s">
        <v>79</v>
      </c>
      <c r="D44" s="150"/>
      <c r="E44" s="150"/>
      <c r="F44" s="151"/>
      <c r="H44" s="100" t="s">
        <v>85</v>
      </c>
      <c r="I44" s="153" t="s">
        <v>125</v>
      </c>
      <c r="J44" s="148" t="s">
        <v>89</v>
      </c>
      <c r="K44" s="149"/>
    </row>
    <row r="45" spans="1:11" ht="31.2" customHeight="1" x14ac:dyDescent="0.5">
      <c r="A45" s="55" t="s">
        <v>68</v>
      </c>
      <c r="B45" s="35" t="s">
        <v>71</v>
      </c>
      <c r="C45" s="136" t="s">
        <v>72</v>
      </c>
      <c r="D45" s="136"/>
      <c r="E45" s="136"/>
      <c r="F45" s="137"/>
      <c r="H45" s="101" t="s">
        <v>68</v>
      </c>
      <c r="I45" s="39">
        <f>(I41+J42)/32</f>
        <v>0.90625</v>
      </c>
      <c r="J45" s="138">
        <f>I45</f>
        <v>0.90625</v>
      </c>
      <c r="K45" s="139"/>
    </row>
    <row r="46" spans="1:11" ht="25.8" x14ac:dyDescent="0.5">
      <c r="A46" s="55" t="s">
        <v>69</v>
      </c>
      <c r="B46" s="35" t="s">
        <v>73</v>
      </c>
      <c r="C46" s="136" t="s">
        <v>74</v>
      </c>
      <c r="D46" s="136"/>
      <c r="E46" s="136"/>
      <c r="F46" s="137"/>
      <c r="H46" s="101" t="s">
        <v>69</v>
      </c>
      <c r="I46" s="39">
        <f>I41/(I41+I42)</f>
        <v>0.95454545454545459</v>
      </c>
      <c r="J46" s="138">
        <f>I46</f>
        <v>0.95454545454545459</v>
      </c>
      <c r="K46" s="139"/>
    </row>
    <row r="47" spans="1:11" ht="26.4" thickBot="1" x14ac:dyDescent="0.55000000000000004">
      <c r="A47" s="99" t="s">
        <v>70</v>
      </c>
      <c r="B47" s="36" t="s">
        <v>75</v>
      </c>
      <c r="C47" s="129" t="s">
        <v>76</v>
      </c>
      <c r="D47" s="129"/>
      <c r="E47" s="129"/>
      <c r="F47" s="130"/>
      <c r="H47" s="101" t="s">
        <v>70</v>
      </c>
      <c r="I47" s="39">
        <f>I41/(I41+J41)</f>
        <v>0.91304347826086951</v>
      </c>
      <c r="J47" s="138">
        <f>I47</f>
        <v>0.91304347826086951</v>
      </c>
      <c r="K47" s="139"/>
    </row>
    <row r="48" spans="1:11" ht="84.6" customHeight="1" thickBot="1" x14ac:dyDescent="0.55000000000000004">
      <c r="A48" s="99" t="s">
        <v>86</v>
      </c>
      <c r="B48" s="52" t="s">
        <v>87</v>
      </c>
      <c r="C48" s="127" t="s">
        <v>88</v>
      </c>
      <c r="D48" s="127"/>
      <c r="E48" s="127"/>
      <c r="F48" s="128"/>
      <c r="H48" s="102" t="s">
        <v>86</v>
      </c>
      <c r="I48" s="154">
        <f>2*(I46*I47)/(I46+I47)</f>
        <v>0.93333333333333324</v>
      </c>
      <c r="J48" s="140">
        <f>I48</f>
        <v>0.93333333333333324</v>
      </c>
      <c r="K48" s="141"/>
    </row>
  </sheetData>
  <mergeCells count="15">
    <mergeCell ref="J44:K44"/>
    <mergeCell ref="C44:F44"/>
    <mergeCell ref="C45:F45"/>
    <mergeCell ref="J45:K45"/>
    <mergeCell ref="A40:B40"/>
    <mergeCell ref="A41:B41"/>
    <mergeCell ref="A42:B42"/>
    <mergeCell ref="N16:O16"/>
    <mergeCell ref="N17:O17"/>
    <mergeCell ref="J46:K46"/>
    <mergeCell ref="J47:K47"/>
    <mergeCell ref="C48:F48"/>
    <mergeCell ref="J48:K48"/>
    <mergeCell ref="C46:F46"/>
    <mergeCell ref="C47:F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577E-EC49-4BF8-867C-046FCD0620BD}">
  <dimension ref="A5:O27"/>
  <sheetViews>
    <sheetView topLeftCell="A5" workbookViewId="0">
      <selection activeCell="F23" sqref="F23"/>
    </sheetView>
  </sheetViews>
  <sheetFormatPr defaultRowHeight="14.4" x14ac:dyDescent="0.3"/>
  <cols>
    <col min="1" max="1" width="21.109375" customWidth="1"/>
    <col min="2" max="2" width="10.109375" customWidth="1"/>
    <col min="11" max="11" width="17.77734375" customWidth="1"/>
  </cols>
  <sheetData>
    <row r="5" spans="1:5" ht="15" thickBot="1" x14ac:dyDescent="0.35"/>
    <row r="6" spans="1:5" ht="25.8" x14ac:dyDescent="0.5">
      <c r="A6" s="18" t="s">
        <v>52</v>
      </c>
      <c r="B6" s="19"/>
      <c r="C6" s="20"/>
      <c r="D6" s="20"/>
      <c r="E6" s="21"/>
    </row>
    <row r="7" spans="1:5" x14ac:dyDescent="0.3">
      <c r="A7" s="22" t="s">
        <v>53</v>
      </c>
      <c r="E7" s="4"/>
    </row>
    <row r="8" spans="1:5" x14ac:dyDescent="0.3">
      <c r="A8" s="31" t="s">
        <v>49</v>
      </c>
      <c r="B8" s="23">
        <v>60</v>
      </c>
      <c r="C8">
        <f>B8</f>
        <v>60</v>
      </c>
      <c r="E8" s="4"/>
    </row>
    <row r="9" spans="1:5" x14ac:dyDescent="0.3">
      <c r="A9" s="31" t="s">
        <v>50</v>
      </c>
      <c r="B9" s="23">
        <v>132</v>
      </c>
      <c r="C9">
        <f t="shared" ref="C9:C10" si="0">B9</f>
        <v>132</v>
      </c>
      <c r="E9" s="4"/>
    </row>
    <row r="10" spans="1:5" x14ac:dyDescent="0.3">
      <c r="A10" s="31" t="s">
        <v>51</v>
      </c>
      <c r="B10" s="23">
        <v>88</v>
      </c>
      <c r="C10">
        <f t="shared" si="0"/>
        <v>88</v>
      </c>
      <c r="E10" s="4"/>
    </row>
    <row r="11" spans="1:5" x14ac:dyDescent="0.3">
      <c r="A11" s="31" t="s">
        <v>4</v>
      </c>
      <c r="B11" s="23" t="s">
        <v>7</v>
      </c>
      <c r="C11">
        <f>IF(B11="Yes",1,0)</f>
        <v>1</v>
      </c>
      <c r="E11" s="4"/>
    </row>
    <row r="12" spans="1:5" x14ac:dyDescent="0.3">
      <c r="A12" s="31" t="s">
        <v>5</v>
      </c>
      <c r="B12" s="23">
        <v>29.5</v>
      </c>
      <c r="C12">
        <f>B12</f>
        <v>29.5</v>
      </c>
      <c r="E12" s="4"/>
    </row>
    <row r="13" spans="1:5" x14ac:dyDescent="0.3">
      <c r="A13" s="31" t="s">
        <v>6</v>
      </c>
      <c r="B13" s="23" t="s">
        <v>8</v>
      </c>
      <c r="C13">
        <f>IF(B13="Yes",1,0)</f>
        <v>0</v>
      </c>
      <c r="E13" s="4"/>
    </row>
    <row r="14" spans="1:5" ht="15" thickBot="1" x14ac:dyDescent="0.35">
      <c r="A14" s="5"/>
      <c r="B14" s="3"/>
      <c r="C14" s="3"/>
      <c r="D14" s="3"/>
      <c r="E14" s="6"/>
    </row>
    <row r="15" spans="1:5" ht="15" thickBot="1" x14ac:dyDescent="0.35"/>
    <row r="16" spans="1:5" ht="18" x14ac:dyDescent="0.35">
      <c r="A16" s="27" t="s">
        <v>54</v>
      </c>
      <c r="B16" s="28"/>
      <c r="C16" s="29"/>
      <c r="D16" s="30"/>
    </row>
    <row r="17" spans="1:15" x14ac:dyDescent="0.3">
      <c r="A17" s="152" t="s">
        <v>55</v>
      </c>
      <c r="B17" s="152"/>
      <c r="C17">
        <f>'LOGISTIC_REGRESSION&amp;EVALUATION'!$B$18 + SUMPRODUCT('LOGISTIC_REGRESSION&amp;EVALUATION'!$B$19:$B$24, PREDICTION_MODEL_NEW_PATIENT!C8:C13)</f>
        <v>0.96761102999860338</v>
      </c>
      <c r="D17" s="4"/>
    </row>
    <row r="18" spans="1:15" x14ac:dyDescent="0.3">
      <c r="A18" s="152" t="s">
        <v>56</v>
      </c>
      <c r="B18" s="152"/>
      <c r="C18">
        <f>1/(1+EXP(-C17))</f>
        <v>0.72464306939601686</v>
      </c>
      <c r="D18" s="4"/>
    </row>
    <row r="19" spans="1:15" ht="15" thickBot="1" x14ac:dyDescent="0.35">
      <c r="A19" s="152" t="s">
        <v>11</v>
      </c>
      <c r="B19" s="152"/>
      <c r="C19" s="3" t="str">
        <f>IF(C18&gt;=0.75,"Heart Disease", "No disease")</f>
        <v>No disease</v>
      </c>
      <c r="D19" s="6"/>
    </row>
    <row r="20" spans="1:15" ht="15" thickBot="1" x14ac:dyDescent="0.35"/>
    <row r="21" spans="1:15" ht="21" x14ac:dyDescent="0.4">
      <c r="A21" s="24" t="s">
        <v>57</v>
      </c>
      <c r="B21" s="25"/>
      <c r="C21" s="25"/>
      <c r="D21" s="26"/>
    </row>
    <row r="22" spans="1:15" x14ac:dyDescent="0.3">
      <c r="A22" s="59" t="s">
        <v>11</v>
      </c>
      <c r="B22" s="32"/>
      <c r="C22" t="str" cm="1">
        <f t="array" ref="C22">_xlfn.IFS(B8&lt;=L24,"No Disease",B12&gt;=L25,"Heart Disease",B13=L26,"Heart Disease", TRUE,"No Disease")</f>
        <v>Heart Disease</v>
      </c>
      <c r="D22" s="4"/>
    </row>
    <row r="23" spans="1:15" ht="26.4" thickBot="1" x14ac:dyDescent="0.55000000000000004">
      <c r="A23" s="5"/>
      <c r="B23" s="3"/>
      <c r="C23" s="3"/>
      <c r="D23" s="6"/>
      <c r="K23" s="7" t="s">
        <v>43</v>
      </c>
      <c r="L23" s="8"/>
      <c r="M23" s="8"/>
      <c r="N23" s="8"/>
      <c r="O23" s="9"/>
    </row>
    <row r="24" spans="1:15" x14ac:dyDescent="0.3">
      <c r="K24" s="10" t="s">
        <v>45</v>
      </c>
      <c r="L24" s="11">
        <v>36</v>
      </c>
      <c r="M24" s="12" t="s">
        <v>41</v>
      </c>
      <c r="N24" s="12"/>
      <c r="O24" s="13"/>
    </row>
    <row r="25" spans="1:15" x14ac:dyDescent="0.3">
      <c r="K25" s="10" t="s">
        <v>46</v>
      </c>
      <c r="L25" s="11">
        <v>25.25</v>
      </c>
      <c r="M25" s="12" t="s">
        <v>42</v>
      </c>
      <c r="N25" s="12"/>
      <c r="O25" s="13"/>
    </row>
    <row r="26" spans="1:15" x14ac:dyDescent="0.3">
      <c r="K26" s="10" t="s">
        <v>47</v>
      </c>
      <c r="L26" s="11" t="s">
        <v>7</v>
      </c>
      <c r="M26" s="12" t="s">
        <v>42</v>
      </c>
      <c r="N26" s="12"/>
      <c r="O26" s="13"/>
    </row>
    <row r="27" spans="1:15" x14ac:dyDescent="0.3">
      <c r="K27" s="14" t="s">
        <v>44</v>
      </c>
      <c r="L27" s="15"/>
      <c r="M27" s="16" t="s">
        <v>41</v>
      </c>
      <c r="N27" s="16"/>
      <c r="O27" s="17"/>
    </row>
  </sheetData>
  <mergeCells count="3">
    <mergeCell ref="A17:B17"/>
    <mergeCell ref="A18:B18"/>
    <mergeCell ref="A19:B19"/>
  </mergeCells>
  <dataValidations count="1">
    <dataValidation type="list" sqref="B11 B13" xr:uid="{42F68288-7B21-43E0-B9B4-47D1ADA773BF}">
      <formula1>"Yes,No"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0FE9-CB97-4301-9B11-6375CDBEDBC8}">
  <dimension ref="A2:A36"/>
  <sheetViews>
    <sheetView tabSelected="1" zoomScale="57" zoomScaleNormal="92" workbookViewId="0">
      <selection activeCell="V24" sqref="V24"/>
    </sheetView>
  </sheetViews>
  <sheetFormatPr defaultRowHeight="14.4" x14ac:dyDescent="0.3"/>
  <cols>
    <col min="2" max="2" width="8.88671875" customWidth="1"/>
  </cols>
  <sheetData>
    <row r="2" spans="1:1" ht="14.4" customHeight="1" x14ac:dyDescent="0.5">
      <c r="A2" s="33"/>
    </row>
    <row r="4" spans="1:1" x14ac:dyDescent="0.3">
      <c r="A4" s="1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ACTUAL_DATASET</vt:lpstr>
      <vt:lpstr>LOGISTIC_REGRESSION&amp;EVALUATION</vt:lpstr>
      <vt:lpstr>DECISION_TREE</vt:lpstr>
      <vt:lpstr>PREDICTION_MODEL_NEW_PATIENT</vt:lpstr>
      <vt:lpstr>MODEL_OUTPUT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P</dc:creator>
  <cp:lastModifiedBy>SNEHA P</cp:lastModifiedBy>
  <dcterms:created xsi:type="dcterms:W3CDTF">2026-09-06T12:53:04Z</dcterms:created>
  <dcterms:modified xsi:type="dcterms:W3CDTF">2026-09-09T14:17:06Z</dcterms:modified>
</cp:coreProperties>
</file>