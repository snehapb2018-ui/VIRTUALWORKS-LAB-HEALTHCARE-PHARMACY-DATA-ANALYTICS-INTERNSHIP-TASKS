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SURESH BABU C\Documents\SNEHA\VIRTUAL WORKS LAB INTERNSHIP\DA\"/>
    </mc:Choice>
  </mc:AlternateContent>
  <xr:revisionPtr revIDLastSave="0" documentId="13_ncr:1_{8BA37E04-7482-413A-AE0B-1E077F6A6852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atient Records(UNCLEAN)" sheetId="1" r:id="rId1"/>
    <sheet name="Patient Records(CLEAN&amp;ANALYSED)" sheetId="2" r:id="rId2"/>
  </sheets>
  <definedNames>
    <definedName name="_xlnm._FilterDatabase" localSheetId="1" hidden="1">'Patient Records(CLEAN&amp;ANALYSED)'!$J$17:$K$23</definedName>
  </definedName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7" i="1" l="1"/>
  <c r="J6" i="1"/>
  <c r="J5" i="1"/>
  <c r="J4" i="1"/>
  <c r="J3" i="1" a="1"/>
  <c r="J3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<sst xmlns="http://schemas.openxmlformats.org/spreadsheetml/2006/main" count="159" uniqueCount="53">
  <si>
    <t>PATIENT ID</t>
  </si>
  <si>
    <t>AGE</t>
  </si>
  <si>
    <t>GENDER</t>
  </si>
  <si>
    <t>DISEASE</t>
  </si>
  <si>
    <t>MEDICATION</t>
  </si>
  <si>
    <t>DOSAGE (MG)</t>
  </si>
  <si>
    <t>P001</t>
  </si>
  <si>
    <t>Female</t>
  </si>
  <si>
    <t>Flu</t>
  </si>
  <si>
    <t>Paracetamol</t>
  </si>
  <si>
    <t>P002</t>
  </si>
  <si>
    <t>Male</t>
  </si>
  <si>
    <t>Hypertension</t>
  </si>
  <si>
    <t>Amlodipine</t>
  </si>
  <si>
    <t>P003</t>
  </si>
  <si>
    <t>Diabetes</t>
  </si>
  <si>
    <t>Metformin</t>
  </si>
  <si>
    <t>P004</t>
  </si>
  <si>
    <t>Asthma</t>
  </si>
  <si>
    <t>Salbutamol</t>
  </si>
  <si>
    <t>P005</t>
  </si>
  <si>
    <t>Arthritis</t>
  </si>
  <si>
    <t>Ibuprofen</t>
  </si>
  <si>
    <t>P006</t>
  </si>
  <si>
    <t>P007</t>
  </si>
  <si>
    <t>P008</t>
  </si>
  <si>
    <t>P009</t>
  </si>
  <si>
    <t>P010</t>
  </si>
  <si>
    <t>P011</t>
  </si>
  <si>
    <t>P012</t>
  </si>
  <si>
    <t>DUPLICATE PATIENT IDS</t>
  </si>
  <si>
    <t>MISSING ENTRIES</t>
  </si>
  <si>
    <t>MISSING DISEASE ENTRIES</t>
  </si>
  <si>
    <t>MISSING MEDICATION ENTRIES</t>
  </si>
  <si>
    <t>MISSING DOSAGE ENTRIES</t>
  </si>
  <si>
    <t>YELLOW = MISSING ENTRIES</t>
  </si>
  <si>
    <t>Grand Total</t>
  </si>
  <si>
    <t>20-29</t>
  </si>
  <si>
    <t>30-39</t>
  </si>
  <si>
    <t>40-49</t>
  </si>
  <si>
    <t>50-59</t>
  </si>
  <si>
    <t>60-69</t>
  </si>
  <si>
    <t>Disease</t>
  </si>
  <si>
    <t>Number of Patients</t>
  </si>
  <si>
    <t>Number of Female patients</t>
  </si>
  <si>
    <t>Number of Male patients</t>
  </si>
  <si>
    <t xml:space="preserve"> </t>
  </si>
  <si>
    <t>Medication</t>
  </si>
  <si>
    <t>DOSAGE(MG)</t>
  </si>
  <si>
    <t>Age Group</t>
  </si>
  <si>
    <t>Number of Patients Visited</t>
  </si>
  <si>
    <t>RED TEXT WITH LIGHT RED BACKGROUND = DUPLICATE ENTRIES</t>
  </si>
  <si>
    <t>SUMMARY OF ERRORS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</si>
</sst>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name val="Arial"/>
    </font>
    <font>
      <b/>
      <sz val="10"/>
      <name val="Arial"/>
    </font>
    <font>
      <sz val="11"/>
      <name val="Arial"/>
      <family val="2"/>
    </font>
    <font>
      <b/>
      <sz val="10"/>
      <name val="Arial"/>
      <family val="2"/>
    </font>
    <font>
      <sz val="11"/>
      <color theme="5"/>
      <name val="Calibri"/>
      <family val="2"/>
      <scheme val="minor"/>
    </font>
    <font>
      <b/>
      <sz val="10"/>
      <color theme="5"/>
      <name val="Arial"/>
      <family val="2"/>
    </font>
    <font>
      <b/>
      <sz val="11"/>
      <name val="Arial"/>
      <family val="2"/>
    </font>
    <font>
      <sz val="11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2CC"/>
      </patternFill>
    </fill>
    <fill>
      <patternFill patternType="solid">
        <fgColor theme="5" tint="0.79998168889431442"/>
        <bgColor rgb="FFD9EAD3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rgb="FF1F4E78"/>
      </patternFill>
    </fill>
    <fill>
      <patternFill patternType="solid">
        <fgColor theme="1"/>
        <bgColor indexed="64"/>
      </patternFill>
    </fill>
  </fills>
  <borders count="20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0" borderId="0" xfId="0" applyFont="1"/>
    <xf numFmtId="0" fontId="4" fillId="5" borderId="2" xfId="0" applyFont="1" applyFill="1" applyBorder="1"/>
    <xf numFmtId="0" fontId="0" fillId="4" borderId="3" xfId="0" applyFill="1" applyBorder="1"/>
    <xf numFmtId="0" fontId="6" fillId="6" borderId="4" xfId="0" applyFont="1" applyFill="1" applyBorder="1"/>
    <xf numFmtId="0" fontId="5" fillId="7" borderId="5" xfId="0" applyFont="1" applyFill="1" applyBorder="1"/>
    <xf numFmtId="0" fontId="3" fillId="0" borderId="1" xfId="0" applyFont="1" applyBorder="1" applyAlignment="1">
      <alignment horizontal="center" vertical="center"/>
    </xf>
    <xf numFmtId="0" fontId="5" fillId="0" borderId="0" xfId="0" applyFont="1"/>
    <xf numFmtId="0" fontId="7" fillId="9" borderId="1" xfId="0" applyFont="1" applyFill="1" applyBorder="1" applyAlignment="1">
      <alignment horizontal="center" vertical="center"/>
    </xf>
    <xf numFmtId="0" fontId="0" fillId="10" borderId="0" xfId="0" applyFill="1"/>
    <xf numFmtId="0" fontId="7" fillId="8" borderId="16" xfId="0" applyFont="1" applyFill="1" applyBorder="1" applyAlignment="1">
      <alignment horizontal="centerContinuous"/>
    </xf>
    <xf numFmtId="0" fontId="0" fillId="8" borderId="17" xfId="0" applyFill="1" applyBorder="1" applyAlignment="1">
      <alignment horizontal="centerContinuous"/>
    </xf>
    <xf numFmtId="0" fontId="3" fillId="0" borderId="18" xfId="0" applyFont="1" applyBorder="1" applyAlignment="1">
      <alignment horizontal="center"/>
    </xf>
    <xf numFmtId="0" fontId="8" fillId="0" borderId="19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pivotButton="1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0" xfId="0" applyFont="1"/>
    <xf numFmtId="0" fontId="8" fillId="0" borderId="10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8" fillId="0" borderId="12" xfId="0" applyFont="1" applyBorder="1" applyAlignment="1">
      <alignment horizontal="center"/>
    </xf>
    <xf numFmtId="0" fontId="8" fillId="0" borderId="13" xfId="0" applyFont="1" applyBorder="1" applyAlignment="1">
      <alignment horizontal="center"/>
    </xf>
    <xf numFmtId="0" fontId="8" fillId="0" borderId="14" xfId="0" applyFont="1" applyBorder="1" applyAlignment="1">
      <alignment horizontal="center"/>
    </xf>
    <xf numFmtId="0" fontId="8" fillId="0" borderId="15" xfId="0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8" fillId="0" borderId="10" xfId="0" pivotButton="1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8" xfId="0" applyFont="1" applyBorder="1" applyAlignment="1">
      <alignment horizontal="center"/>
    </xf>
  </cellXfs>
  <cellStyles count="1">
    <cellStyle name="Normal" xfId="0" builtinId="0"/>
  </cellStyles>
  <dxfs count="155"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bottom style="thin">
          <color indexed="64"/>
        </bottom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RESH BABU C" refreshedDate="46268.649767361108" createdVersion="8" refreshedVersion="8" minRefreshableVersion="3" recordCount="12" xr:uid="{8FC36302-8944-4950-8E5D-8DBDC23C23F8}">
  <cacheSource type="worksheet">
    <worksheetSource ref="A1:F13" sheet="Patient Records(CLEAN&amp;ANALYSED)"/>
  </cacheSource>
  <cacheFields count="6">
    <cacheField name="PATIENT ID" numFmtId="0">
      <sharedItems/>
    </cacheField>
    <cacheField name="AGE" numFmtId="0">
      <sharedItems containsSemiMixedTypes="0" containsString="0" containsNumber="1" containsInteger="1" minValue="28" maxValue="62" count="12">
        <n v="28"/>
        <n v="45"/>
        <n v="60"/>
        <n v="34"/>
        <n v="50"/>
        <n v="29"/>
        <n v="41"/>
        <n v="52"/>
        <n v="55"/>
        <n v="38"/>
        <n v="62"/>
        <n v="33"/>
      </sharedItems>
      <fieldGroup base="1">
        <rangePr autoStart="0" autoEnd="0" startNum="20" endNum="65" groupInterval="10"/>
        <groupItems count="7">
          <s v="&lt;20"/>
          <s v="20-29"/>
          <s v="30-39"/>
          <s v="40-49"/>
          <s v="50-59"/>
          <s v="60-69"/>
          <s v="&gt;70"/>
        </groupItems>
      </fieldGroup>
    </cacheField>
    <cacheField name="GENDER" numFmtId="0">
      <sharedItems count="2">
        <s v="Female"/>
        <s v="Male"/>
      </sharedItems>
    </cacheField>
    <cacheField name="DISEASE" numFmtId="0">
      <sharedItems count="5">
        <s v="Flu"/>
        <s v="Hypertension"/>
        <s v="Diabetes"/>
        <s v="Arthritis"/>
        <s v="Asthma"/>
      </sharedItems>
    </cacheField>
    <cacheField name="MEDICATION" numFmtId="0">
      <sharedItems count="5">
        <s v="Paracetamol"/>
        <s v="Amlodipine"/>
        <s v="Metformin"/>
        <s v="Ibuprofen"/>
        <s v="Salbutamol"/>
      </sharedItems>
    </cacheField>
    <cacheField name="DOSAGE (MG)" numFmtId="0">
      <sharedItems containsSemiMixedTypes="0" containsString="0" containsNumber="1" containsInteger="1" minValue="5" maxValue="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s v="P001"/>
    <x v="0"/>
    <x v="0"/>
    <x v="0"/>
    <x v="0"/>
    <n v="500"/>
  </r>
  <r>
    <s v="P002"/>
    <x v="1"/>
    <x v="1"/>
    <x v="1"/>
    <x v="1"/>
    <n v="5"/>
  </r>
  <r>
    <s v="P003"/>
    <x v="2"/>
    <x v="0"/>
    <x v="2"/>
    <x v="2"/>
    <n v="500"/>
  </r>
  <r>
    <s v="P004"/>
    <x v="3"/>
    <x v="1"/>
    <x v="0"/>
    <x v="0"/>
    <n v="500"/>
  </r>
  <r>
    <s v="P005"/>
    <x v="4"/>
    <x v="0"/>
    <x v="3"/>
    <x v="3"/>
    <n v="400"/>
  </r>
  <r>
    <s v="P006"/>
    <x v="5"/>
    <x v="1"/>
    <x v="0"/>
    <x v="0"/>
    <n v="500"/>
  </r>
  <r>
    <s v="P007"/>
    <x v="6"/>
    <x v="0"/>
    <x v="1"/>
    <x v="1"/>
    <n v="5"/>
  </r>
  <r>
    <s v="P008"/>
    <x v="7"/>
    <x v="1"/>
    <x v="2"/>
    <x v="2"/>
    <n v="500"/>
  </r>
  <r>
    <s v="P009"/>
    <x v="8"/>
    <x v="0"/>
    <x v="3"/>
    <x v="3"/>
    <n v="400"/>
  </r>
  <r>
    <s v="P010"/>
    <x v="9"/>
    <x v="0"/>
    <x v="0"/>
    <x v="0"/>
    <n v="500"/>
  </r>
  <r>
    <s v="P011"/>
    <x v="10"/>
    <x v="1"/>
    <x v="3"/>
    <x v="3"/>
    <n v="400"/>
  </r>
  <r>
    <s v="P012"/>
    <x v="11"/>
    <x v="0"/>
    <x v="4"/>
    <x v="4"/>
    <n v="1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F34A21-DD1A-48BC-8C87-86317489443B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Age Group">
  <location ref="J15:K21" firstHeaderRow="1" firstDataRow="1" firstDataCol="1"/>
  <pivotFields count="6">
    <pivotField dataField="1" showAll="0"/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/>
    <pivotField showAll="0"/>
  </pivotFields>
  <rowFields count="1">
    <field x="1"/>
  </rowFields>
  <rowItems count="6"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Number of Patients Visited" fld="0" subtotal="count" baseField="0" baseItem="0"/>
  </dataFields>
  <formats count="25">
    <format dxfId="31">
      <pivotArea type="all" dataOnly="0" outline="0" fieldPosition="0"/>
    </format>
    <format dxfId="32">
      <pivotArea outline="0" collapsedLevelsAreSubtotals="1" fieldPosition="0"/>
    </format>
    <format dxfId="33">
      <pivotArea field="1" type="button" dataOnly="0" labelOnly="1" outline="0" axis="axisRow" fieldPosition="0"/>
    </format>
    <format dxfId="34">
      <pivotArea dataOnly="0" labelOnly="1" fieldPosition="0">
        <references count="1">
          <reference field="1" count="5">
            <x v="1"/>
            <x v="2"/>
            <x v="3"/>
            <x v="4"/>
            <x v="5"/>
          </reference>
        </references>
      </pivotArea>
    </format>
    <format dxfId="35">
      <pivotArea dataOnly="0" labelOnly="1" grandRow="1" outline="0" fieldPosition="0"/>
    </format>
    <format dxfId="36">
      <pivotArea dataOnly="0" labelOnly="1" outline="0" axis="axisValues" fieldPosition="0"/>
    </format>
    <format dxfId="37">
      <pivotArea dataOnly="0" labelOnly="1" fieldPosition="0">
        <references count="1">
          <reference field="1" count="1">
            <x v="1"/>
          </reference>
        </references>
      </pivotArea>
    </format>
    <format dxfId="38">
      <pivotArea dataOnly="0" labelOnly="1" fieldPosition="0">
        <references count="1">
          <reference field="1" count="1">
            <x v="2"/>
          </reference>
        </references>
      </pivotArea>
    </format>
    <format dxfId="39">
      <pivotArea dataOnly="0" labelOnly="1" fieldPosition="0">
        <references count="1">
          <reference field="1" count="1">
            <x v="3"/>
          </reference>
        </references>
      </pivotArea>
    </format>
    <format dxfId="40">
      <pivotArea dataOnly="0" labelOnly="1" fieldPosition="0">
        <references count="1">
          <reference field="1" count="1">
            <x v="4"/>
          </reference>
        </references>
      </pivotArea>
    </format>
    <format dxfId="41">
      <pivotArea dataOnly="0" labelOnly="1" fieldPosition="0">
        <references count="1">
          <reference field="1" count="1">
            <x v="5"/>
          </reference>
        </references>
      </pivotArea>
    </format>
    <format dxfId="42">
      <pivotArea dataOnly="0" labelOnly="1" grandRow="1" outline="0" fieldPosition="0"/>
    </format>
    <format dxfId="43">
      <pivotArea field="1" type="button" dataOnly="0" labelOnly="1" outline="0" axis="axisRow" fieldPosition="0"/>
    </format>
    <format dxfId="44">
      <pivotArea type="all" dataOnly="0" outline="0" fieldPosition="0"/>
    </format>
    <format dxfId="45">
      <pivotArea outline="0" collapsedLevelsAreSubtotals="1" fieldPosition="0"/>
    </format>
    <format dxfId="46">
      <pivotArea field="1" type="button" dataOnly="0" labelOnly="1" outline="0" axis="axisRow" fieldPosition="0"/>
    </format>
    <format dxfId="47">
      <pivotArea dataOnly="0" labelOnly="1" fieldPosition="0">
        <references count="1">
          <reference field="1" count="5">
            <x v="1"/>
            <x v="2"/>
            <x v="3"/>
            <x v="4"/>
            <x v="5"/>
          </reference>
        </references>
      </pivotArea>
    </format>
    <format dxfId="48">
      <pivotArea dataOnly="0" labelOnly="1" grandRow="1" outline="0" fieldPosition="0"/>
    </format>
    <format dxfId="49">
      <pivotArea dataOnly="0" labelOnly="1" outline="0" axis="axisValues" fieldPosition="0"/>
    </format>
    <format dxfId="30">
      <pivotArea type="all" dataOnly="0" outline="0" fieldPosition="0"/>
    </format>
    <format dxfId="29">
      <pivotArea outline="0" collapsedLevelsAreSubtotals="1" fieldPosition="0"/>
    </format>
    <format dxfId="28">
      <pivotArea field="1" type="button" dataOnly="0" labelOnly="1" outline="0" axis="axisRow" fieldPosition="0"/>
    </format>
    <format dxfId="27">
      <pivotArea dataOnly="0" labelOnly="1" fieldPosition="0">
        <references count="1">
          <reference field="1" count="5">
            <x v="1"/>
            <x v="2"/>
            <x v="3"/>
            <x v="4"/>
            <x v="5"/>
          </reference>
        </references>
      </pivotArea>
    </format>
    <format dxfId="26">
      <pivotArea dataOnly="0" labelOnly="1" grandRow="1" outline="0" fieldPosition="0"/>
    </format>
    <format dxfId="25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B854C2-375F-4A7C-9EA2-D0C3348852A3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Disease">
  <location ref="J2:K8" firstHeaderRow="1" firstDataRow="1" firstDataCol="1"/>
  <pivotFields count="6">
    <pivotField dataField="1" showAll="0"/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axis="axisRow" showAll="0" sortType="descending">
      <items count="6">
        <item x="3"/>
        <item x="4"/>
        <item x="2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</pivotFields>
  <rowFields count="1">
    <field x="3"/>
  </rowFields>
  <rowItems count="6">
    <i>
      <x v="3"/>
    </i>
    <i>
      <x/>
    </i>
    <i>
      <x v="4"/>
    </i>
    <i>
      <x v="2"/>
    </i>
    <i>
      <x v="1"/>
    </i>
    <i t="grand">
      <x/>
    </i>
  </rowItems>
  <colItems count="1">
    <i/>
  </colItems>
  <dataFields count="1">
    <dataField name="Number of Patients" fld="0" subtotal="count" baseField="0" baseItem="0"/>
  </dataFields>
  <formats count="22">
    <format dxfId="135">
      <pivotArea type="all" dataOnly="0" outline="0" fieldPosition="0"/>
    </format>
    <format dxfId="134">
      <pivotArea outline="0" collapsedLevelsAreSubtotals="1" fieldPosition="0"/>
    </format>
    <format dxfId="133">
      <pivotArea field="3" type="button" dataOnly="0" labelOnly="1" outline="0" axis="axisRow" fieldPosition="0"/>
    </format>
    <format dxfId="132">
      <pivotArea dataOnly="0" labelOnly="1" fieldPosition="0">
        <references count="1">
          <reference field="3" count="0"/>
        </references>
      </pivotArea>
    </format>
    <format dxfId="131">
      <pivotArea dataOnly="0" labelOnly="1" grandRow="1" outline="0" fieldPosition="0"/>
    </format>
    <format dxfId="130">
      <pivotArea dataOnly="0" labelOnly="1" outline="0" axis="axisValues" fieldPosition="0"/>
    </format>
    <format dxfId="129">
      <pivotArea field="3" type="button" dataOnly="0" labelOnly="1" outline="0" axis="axisRow" fieldPosition="0"/>
    </format>
    <format dxfId="128">
      <pivotArea dataOnly="0" labelOnly="1" fieldPosition="0">
        <references count="1">
          <reference field="3" count="0"/>
        </references>
      </pivotArea>
    </format>
    <format dxfId="127">
      <pivotArea dataOnly="0" labelOnly="1" grandRow="1" outline="0" fieldPosition="0"/>
    </format>
    <format dxfId="126">
      <pivotArea collapsedLevelsAreSubtotals="1" fieldPosition="0">
        <references count="1">
          <reference field="3" count="1">
            <x v="1"/>
          </reference>
        </references>
      </pivotArea>
    </format>
    <format dxfId="125">
      <pivotArea type="all" dataOnly="0" outline="0" fieldPosition="0"/>
    </format>
    <format dxfId="124">
      <pivotArea outline="0" collapsedLevelsAreSubtotals="1" fieldPosition="0"/>
    </format>
    <format dxfId="123">
      <pivotArea field="3" type="button" dataOnly="0" labelOnly="1" outline="0" axis="axisRow" fieldPosition="0"/>
    </format>
    <format dxfId="122">
      <pivotArea dataOnly="0" labelOnly="1" fieldPosition="0">
        <references count="1">
          <reference field="3" count="0"/>
        </references>
      </pivotArea>
    </format>
    <format dxfId="121">
      <pivotArea dataOnly="0" labelOnly="1" grandRow="1" outline="0" fieldPosition="0"/>
    </format>
    <format dxfId="120">
      <pivotArea dataOnly="0" labelOnly="1" outline="0" axis="axisValues" fieldPosition="0"/>
    </format>
    <format dxfId="23">
      <pivotArea type="all" dataOnly="0" outline="0" fieldPosition="0"/>
    </format>
    <format dxfId="22">
      <pivotArea outline="0" collapsedLevelsAreSubtotals="1" fieldPosition="0"/>
    </format>
    <format dxfId="21">
      <pivotArea field="3" type="button" dataOnly="0" labelOnly="1" outline="0" axis="axisRow" fieldPosition="0"/>
    </format>
    <format dxfId="20">
      <pivotArea dataOnly="0" labelOnly="1" fieldPosition="0">
        <references count="1">
          <reference field="3" count="0"/>
        </references>
      </pivotArea>
    </format>
    <format dxfId="19">
      <pivotArea dataOnly="0" labelOnly="1" grandRow="1" outline="0" fieldPosition="0"/>
    </format>
    <format dxfId="18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FEB8E0-E24F-4B0E-9BB3-2F1A86F2D59F}" name="PivotTable1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rowHeaderCaption="Medication">
  <location ref="M2:N7" firstHeaderRow="1" firstDataRow="1" firstDataCol="1"/>
  <pivotFields count="6">
    <pivotField showAll="0"/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axis="axisRow" showAll="0" sortType="descending">
      <items count="6">
        <item x="1"/>
        <item x="3"/>
        <item x="2"/>
        <item x="0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4"/>
  </rowFields>
  <rowItems count="5">
    <i>
      <x v="3"/>
    </i>
    <i>
      <x v="2"/>
    </i>
    <i>
      <x v="1"/>
    </i>
    <i>
      <x v="4"/>
    </i>
    <i>
      <x/>
    </i>
  </rowItems>
  <colItems count="1">
    <i/>
  </colItems>
  <dataFields count="1">
    <dataField name="DOSAGE(MG)" fld="5" subtotal="max" baseField="4" baseItem="0"/>
  </dataFields>
  <formats count="17">
    <format dxfId="50">
      <pivotArea type="all" dataOnly="0" outline="0" fieldPosition="0"/>
    </format>
    <format dxfId="51">
      <pivotArea outline="0" collapsedLevelsAreSubtotals="1" fieldPosition="0"/>
    </format>
    <format dxfId="52">
      <pivotArea field="4" type="button" dataOnly="0" labelOnly="1" outline="0" axis="axisRow" fieldPosition="0"/>
    </format>
    <format dxfId="53">
      <pivotArea dataOnly="0" labelOnly="1" fieldPosition="0">
        <references count="1">
          <reference field="4" count="0"/>
        </references>
      </pivotArea>
    </format>
    <format dxfId="54">
      <pivotArea dataOnly="0" labelOnly="1" outline="0" axis="axisValues" fieldPosition="0"/>
    </format>
    <format dxfId="55">
      <pivotArea field="4" type="button" dataOnly="0" labelOnly="1" outline="0" axis="axisRow" fieldPosition="0"/>
    </format>
    <format dxfId="56">
      <pivotArea dataOnly="0" labelOnly="1" fieldPosition="0">
        <references count="1">
          <reference field="4" count="0"/>
        </references>
      </pivotArea>
    </format>
    <format dxfId="57">
      <pivotArea type="all" dataOnly="0" outline="0" fieldPosition="0"/>
    </format>
    <format dxfId="58">
      <pivotArea outline="0" collapsedLevelsAreSubtotals="1" fieldPosition="0"/>
    </format>
    <format dxfId="59">
      <pivotArea field="4" type="button" dataOnly="0" labelOnly="1" outline="0" axis="axisRow" fieldPosition="0"/>
    </format>
    <format dxfId="60">
      <pivotArea dataOnly="0" labelOnly="1" fieldPosition="0">
        <references count="1">
          <reference field="4" count="0"/>
        </references>
      </pivotArea>
    </format>
    <format dxfId="61">
      <pivotArea dataOnly="0" labelOnly="1" outline="0" axis="axisValues" fieldPosition="0"/>
    </format>
    <format dxfId="16">
      <pivotArea type="all" dataOnly="0" outline="0" fieldPosition="0"/>
    </format>
    <format dxfId="15">
      <pivotArea outline="0" collapsedLevelsAreSubtotals="1" fieldPosition="0"/>
    </format>
    <format dxfId="14">
      <pivotArea field="4" type="button" dataOnly="0" labelOnly="1" outline="0" axis="axisRow" fieldPosition="0"/>
    </format>
    <format dxfId="13">
      <pivotArea dataOnly="0" labelOnly="1" fieldPosition="0">
        <references count="1">
          <reference field="4" count="0"/>
        </references>
      </pivotArea>
    </format>
    <format dxfId="12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520EE0-BDFF-4B07-A86F-DF9DE11BEA38}" name="PivotTable3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rowHeaderCaption="Disease" colHeaderCaption=" ">
  <location ref="J10:P13" firstHeaderRow="1" firstDataRow="2" firstDataCol="1"/>
  <pivotFields count="6">
    <pivotField dataField="1" showAll="0"/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axis="axisRow" showAll="0">
      <items count="3">
        <item n="Number of Female patients" x="0"/>
        <item n="Number of Male patients" x="1"/>
        <item t="default"/>
      </items>
    </pivotField>
    <pivotField axis="axisCol" showAll="0" sortType="descending">
      <items count="6">
        <item x="1"/>
        <item x="0"/>
        <item x="2"/>
        <item x="4"/>
        <item x="3"/>
        <item t="default"/>
      </items>
    </pivotField>
    <pivotField showAll="0"/>
    <pivotField showAll="0"/>
  </pivotFields>
  <rowFields count="1">
    <field x="2"/>
  </rowFields>
  <rowItems count="2">
    <i>
      <x/>
    </i>
    <i>
      <x v="1"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 " fld="0" subtotal="count" baseField="0" baseItem="0"/>
  </dataFields>
  <formats count="55">
    <format dxfId="119">
      <pivotArea type="all" dataOnly="0" outline="0" fieldPosition="0"/>
    </format>
    <format dxfId="118">
      <pivotArea outline="0" collapsedLevelsAreSubtotals="1" fieldPosition="0"/>
    </format>
    <format dxfId="117">
      <pivotArea type="origin" dataOnly="0" labelOnly="1" outline="0" fieldPosition="0"/>
    </format>
    <format dxfId="116">
      <pivotArea field="3" type="button" dataOnly="0" labelOnly="1" outline="0" axis="axisCol" fieldPosition="0"/>
    </format>
    <format dxfId="115">
      <pivotArea type="topRight" dataOnly="0" labelOnly="1" outline="0" fieldPosition="0"/>
    </format>
    <format dxfId="114">
      <pivotArea field="2" type="button" dataOnly="0" labelOnly="1" outline="0" axis="axisRow" fieldPosition="0"/>
    </format>
    <format dxfId="113">
      <pivotArea dataOnly="0" labelOnly="1" fieldPosition="0">
        <references count="1">
          <reference field="2" count="0"/>
        </references>
      </pivotArea>
    </format>
    <format dxfId="112">
      <pivotArea dataOnly="0" labelOnly="1" grandRow="1" outline="0" fieldPosition="0"/>
    </format>
    <format dxfId="111">
      <pivotArea dataOnly="0" labelOnly="1" fieldPosition="0">
        <references count="1">
          <reference field="3" count="0"/>
        </references>
      </pivotArea>
    </format>
    <format dxfId="110">
      <pivotArea dataOnly="0" labelOnly="1" grandCol="1" outline="0" fieldPosition="0"/>
    </format>
    <format dxfId="109">
      <pivotArea type="origin" dataOnly="0" labelOnly="1" outline="0" fieldPosition="0"/>
    </format>
    <format dxfId="108">
      <pivotArea field="2" type="button" dataOnly="0" labelOnly="1" outline="0" axis="axisRow" fieldPosition="0"/>
    </format>
    <format dxfId="107">
      <pivotArea dataOnly="0" labelOnly="1" fieldPosition="0">
        <references count="1">
          <reference field="2" count="0"/>
        </references>
      </pivotArea>
    </format>
    <format dxfId="106">
      <pivotArea dataOnly="0" labelOnly="1" grandRow="1" outline="0" fieldPosition="0"/>
    </format>
    <format dxfId="105">
      <pivotArea outline="0" collapsedLevelsAreSubtotals="1" fieldPosition="0">
        <references count="1">
          <reference field="3" count="1" selected="0">
            <x v="0"/>
          </reference>
        </references>
      </pivotArea>
    </format>
    <format dxfId="104">
      <pivotArea field="3" type="button" dataOnly="0" labelOnly="1" outline="0" axis="axisCol" fieldPosition="0"/>
    </format>
    <format dxfId="103">
      <pivotArea dataOnly="0" labelOnly="1" fieldPosition="0">
        <references count="1">
          <reference field="3" count="1">
            <x v="0"/>
          </reference>
        </references>
      </pivotArea>
    </format>
    <format dxfId="102">
      <pivotArea outline="0" collapsedLevelsAreSubtotals="1" fieldPosition="0">
        <references count="1">
          <reference field="3" count="4" selected="0">
            <x v="1"/>
            <x v="2"/>
            <x v="3"/>
            <x v="4"/>
          </reference>
        </references>
      </pivotArea>
    </format>
    <format dxfId="101">
      <pivotArea type="topRight" dataOnly="0" labelOnly="1" outline="0" offset="A1:D1" fieldPosition="0"/>
    </format>
    <format dxfId="100">
      <pivotArea dataOnly="0" labelOnly="1" fieldPosition="0">
        <references count="1">
          <reference field="3" count="4">
            <x v="1"/>
            <x v="2"/>
            <x v="3"/>
            <x v="4"/>
          </reference>
        </references>
      </pivotArea>
    </format>
    <format dxfId="99">
      <pivotArea outline="0" collapsedLevelsAreSubtotals="1" fieldPosition="0">
        <references count="1">
          <reference field="3" count="1" selected="0">
            <x v="1"/>
          </reference>
        </references>
      </pivotArea>
    </format>
    <format dxfId="98">
      <pivotArea outline="0" collapsedLevelsAreSubtotals="1" fieldPosition="0">
        <references count="1">
          <reference field="3" count="1" selected="0">
            <x v="2"/>
          </reference>
        </references>
      </pivotArea>
    </format>
    <format dxfId="97">
      <pivotArea outline="0" collapsedLevelsAreSubtotals="1" fieldPosition="0">
        <references count="1">
          <reference field="3" count="1" selected="0">
            <x v="3"/>
          </reference>
        </references>
      </pivotArea>
    </format>
    <format dxfId="96">
      <pivotArea collapsedLevelsAreSubtotals="1" fieldPosition="0">
        <references count="2">
          <reference field="2" count="1">
            <x v="1"/>
          </reference>
          <reference field="3" count="1" selected="0">
            <x v="0"/>
          </reference>
        </references>
      </pivotArea>
    </format>
    <format dxfId="95">
      <pivotArea collapsedLevelsAreSubtotals="1" fieldPosition="0">
        <references count="2">
          <reference field="2" count="1">
            <x v="1"/>
          </reference>
          <reference field="3" count="1" selected="0">
            <x v="1"/>
          </reference>
        </references>
      </pivotArea>
    </format>
    <format dxfId="94">
      <pivotArea collapsedLevelsAreSubtotals="1" fieldPosition="0">
        <references count="2">
          <reference field="2" count="1">
            <x v="1"/>
          </reference>
          <reference field="3" count="1" selected="0">
            <x v="2"/>
          </reference>
        </references>
      </pivotArea>
    </format>
    <format dxfId="93">
      <pivotArea collapsedLevelsAreSubtotals="1" fieldPosition="0">
        <references count="2">
          <reference field="2" count="1">
            <x v="1"/>
          </reference>
          <reference field="3" count="1" selected="0">
            <x v="3"/>
          </reference>
        </references>
      </pivotArea>
    </format>
    <format dxfId="92">
      <pivotArea collapsedLevelsAreSubtotals="1" fieldPosition="0">
        <references count="2">
          <reference field="2" count="1">
            <x v="1"/>
          </reference>
          <reference field="3" count="1" selected="0">
            <x v="4"/>
          </reference>
        </references>
      </pivotArea>
    </format>
    <format dxfId="91">
      <pivotArea field="2" grandCol="1" collapsedLevelsAreSubtotals="1" axis="axisRow" fieldPosition="0">
        <references count="1">
          <reference field="2" count="1">
            <x v="1"/>
          </reference>
        </references>
      </pivotArea>
    </format>
    <format dxfId="90">
      <pivotArea type="all" dataOnly="0" outline="0" fieldPosition="0"/>
    </format>
    <format dxfId="89">
      <pivotArea outline="0" collapsedLevelsAreSubtotals="1" fieldPosition="0"/>
    </format>
    <format dxfId="88">
      <pivotArea type="origin" dataOnly="0" labelOnly="1" outline="0" fieldPosition="0"/>
    </format>
    <format dxfId="87">
      <pivotArea field="3" type="button" dataOnly="0" labelOnly="1" outline="0" axis="axisCol" fieldPosition="0"/>
    </format>
    <format dxfId="86">
      <pivotArea type="topRight" dataOnly="0" labelOnly="1" outline="0" fieldPosition="0"/>
    </format>
    <format dxfId="85">
      <pivotArea field="2" type="button" dataOnly="0" labelOnly="1" outline="0" axis="axisRow" fieldPosition="0"/>
    </format>
    <format dxfId="84">
      <pivotArea dataOnly="0" labelOnly="1" fieldPosition="0">
        <references count="1">
          <reference field="2" count="0"/>
        </references>
      </pivotArea>
    </format>
    <format dxfId="83">
      <pivotArea dataOnly="0" labelOnly="1" grandRow="1" outline="0" fieldPosition="0"/>
    </format>
    <format dxfId="82">
      <pivotArea dataOnly="0" labelOnly="1" fieldPosition="0">
        <references count="1">
          <reference field="3" count="0"/>
        </references>
      </pivotArea>
    </format>
    <format dxfId="81">
      <pivotArea dataOnly="0" labelOnly="1" grandCol="1" outline="0" fieldPosition="0"/>
    </format>
    <format dxfId="80">
      <pivotArea dataOnly="0" labelOnly="1" fieldPosition="0">
        <references count="1">
          <reference field="2" count="1">
            <x v="0"/>
          </reference>
        </references>
      </pivotArea>
    </format>
    <format dxfId="79">
      <pivotArea collapsedLevelsAreSubtotals="1" fieldPosition="0">
        <references count="2">
          <reference field="2" count="1">
            <x v="0"/>
          </reference>
          <reference field="3" count="1" selected="0">
            <x v="0"/>
          </reference>
        </references>
      </pivotArea>
    </format>
    <format dxfId="78">
      <pivotArea collapsedLevelsAreSubtotals="1" fieldPosition="0">
        <references count="2">
          <reference field="2" count="1">
            <x v="0"/>
          </reference>
          <reference field="3" count="1" selected="0">
            <x v="1"/>
          </reference>
        </references>
      </pivotArea>
    </format>
    <format dxfId="77">
      <pivotArea collapsedLevelsAreSubtotals="1" fieldPosition="0">
        <references count="2">
          <reference field="2" count="1">
            <x v="0"/>
          </reference>
          <reference field="3" count="1" selected="0">
            <x v="2"/>
          </reference>
        </references>
      </pivotArea>
    </format>
    <format dxfId="76">
      <pivotArea collapsedLevelsAreSubtotals="1" fieldPosition="0">
        <references count="2">
          <reference field="2" count="1">
            <x v="0"/>
          </reference>
          <reference field="3" count="1" selected="0">
            <x v="3"/>
          </reference>
        </references>
      </pivotArea>
    </format>
    <format dxfId="75">
      <pivotArea collapsedLevelsAreSubtotals="1" fieldPosition="0">
        <references count="2">
          <reference field="2" count="1">
            <x v="0"/>
          </reference>
          <reference field="3" count="1" selected="0">
            <x v="4"/>
          </reference>
        </references>
      </pivotArea>
    </format>
    <format dxfId="74">
      <pivotArea field="2" grandCol="1" collapsedLevelsAreSubtotals="1" axis="axisRow" fieldPosition="0">
        <references count="1">
          <reference field="2" count="1">
            <x v="0"/>
          </reference>
        </references>
      </pivotArea>
    </format>
    <format dxfId="10">
      <pivotArea type="all" dataOnly="0" outline="0" fieldPosition="0"/>
    </format>
    <format dxfId="9">
      <pivotArea outline="0" collapsedLevelsAreSubtotals="1" fieldPosition="0"/>
    </format>
    <format dxfId="8">
      <pivotArea type="origin" dataOnly="0" labelOnly="1" outline="0" fieldPosition="0"/>
    </format>
    <format dxfId="7">
      <pivotArea field="3" type="button" dataOnly="0" labelOnly="1" outline="0" axis="axisCol" fieldPosition="0"/>
    </format>
    <format dxfId="6">
      <pivotArea type="topRight" dataOnly="0" labelOnly="1" outline="0" fieldPosition="0"/>
    </format>
    <format dxfId="5">
      <pivotArea field="2" type="button" dataOnly="0" labelOnly="1" outline="0" axis="axisRow" fieldPosition="0"/>
    </format>
    <format dxfId="4">
      <pivotArea dataOnly="0" labelOnly="1" fieldPosition="0">
        <references count="1">
          <reference field="2" count="0"/>
        </references>
      </pivotArea>
    </format>
    <format dxfId="3">
      <pivotArea dataOnly="0" labelOnly="1" fieldPosition="0">
        <references count="1">
          <reference field="3" count="0"/>
        </references>
      </pivotArea>
    </format>
    <format dxfId="2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"/>
  <sheetViews>
    <sheetView workbookViewId="0">
      <pane ySplit="1" topLeftCell="A2" activePane="bottomLeft" state="frozen"/>
      <selection pane="bottomLeft" activeCell="I19" sqref="I19"/>
    </sheetView>
  </sheetViews>
  <sheetFormatPr defaultRowHeight="14.4" x14ac:dyDescent="0.3"/>
  <cols>
    <col min="1" max="1" width="13.77734375" customWidth="1"/>
    <col min="2" max="2" width="8" customWidth="1"/>
    <col min="3" max="3" width="10" customWidth="1"/>
    <col min="4" max="4" width="28.77734375" customWidth="1"/>
    <col min="5" max="5" width="34.5546875" customWidth="1"/>
    <col min="6" max="6" width="22.21875" customWidth="1"/>
    <col min="7" max="8" width="5.33203125" customWidth="1"/>
    <col min="9" max="9" width="31.109375" customWidth="1"/>
    <col min="10" max="10" width="34.21875" customWidth="1"/>
    <col min="12" max="12" width="27.77734375" customWidth="1"/>
  </cols>
  <sheetData>
    <row r="1" spans="1:10" ht="19.95" customHeight="1" thickBot="1" x14ac:dyDescent="0.3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</row>
    <row r="2" spans="1:10" x14ac:dyDescent="0.3">
      <c r="A2" s="1" t="s">
        <v>6</v>
      </c>
      <c r="B2" s="1">
        <v>28</v>
      </c>
      <c r="C2" s="1" t="s">
        <v>7</v>
      </c>
      <c r="D2" s="1" t="s">
        <v>8</v>
      </c>
      <c r="E2" s="1" t="s">
        <v>9</v>
      </c>
      <c r="F2" s="1">
        <v>500</v>
      </c>
      <c r="I2" s="13" t="s">
        <v>52</v>
      </c>
      <c r="J2" s="14"/>
    </row>
    <row r="3" spans="1:10" x14ac:dyDescent="0.3">
      <c r="A3" s="2" t="s">
        <v>10</v>
      </c>
      <c r="B3" s="1">
        <v>45</v>
      </c>
      <c r="C3" s="1" t="s">
        <v>11</v>
      </c>
      <c r="D3" s="1" t="s">
        <v>12</v>
      </c>
      <c r="E3" s="1" t="s">
        <v>13</v>
      </c>
      <c r="F3" s="1">
        <v>5</v>
      </c>
      <c r="I3" s="15" t="s">
        <v>30</v>
      </c>
      <c r="J3" s="16" cm="1">
        <f t="array" ref="J3">SUMPRODUCT(--(COUNTIF(A1:A16, A1:A16) &gt; 1))</f>
        <v>6</v>
      </c>
    </row>
    <row r="4" spans="1:10" x14ac:dyDescent="0.3">
      <c r="A4" s="1" t="s">
        <v>14</v>
      </c>
      <c r="B4" s="1">
        <v>60</v>
      </c>
      <c r="C4" s="1" t="s">
        <v>7</v>
      </c>
      <c r="D4" s="1" t="s">
        <v>15</v>
      </c>
      <c r="E4" s="1" t="s">
        <v>16</v>
      </c>
      <c r="F4" s="1">
        <v>500</v>
      </c>
      <c r="I4" s="15" t="s">
        <v>31</v>
      </c>
      <c r="J4" s="16">
        <f>COUNTBLANK(A1:F16)</f>
        <v>5</v>
      </c>
    </row>
    <row r="5" spans="1:10" x14ac:dyDescent="0.3">
      <c r="A5" s="2" t="s">
        <v>17</v>
      </c>
      <c r="B5" s="1">
        <v>34</v>
      </c>
      <c r="C5" s="1" t="s">
        <v>11</v>
      </c>
      <c r="D5" s="1" t="s">
        <v>8</v>
      </c>
      <c r="E5" s="1" t="s">
        <v>9</v>
      </c>
      <c r="F5" s="1">
        <v>500</v>
      </c>
      <c r="I5" s="15" t="s">
        <v>32</v>
      </c>
      <c r="J5" s="16">
        <f>COUNTBLANK(D1:D16)</f>
        <v>1</v>
      </c>
    </row>
    <row r="6" spans="1:10" x14ac:dyDescent="0.3">
      <c r="A6" s="1" t="s">
        <v>20</v>
      </c>
      <c r="B6" s="1">
        <v>50</v>
      </c>
      <c r="C6" s="1" t="s">
        <v>7</v>
      </c>
      <c r="D6" s="1" t="s">
        <v>21</v>
      </c>
      <c r="E6" s="1" t="s">
        <v>22</v>
      </c>
      <c r="F6" s="1">
        <v>400</v>
      </c>
      <c r="I6" s="15" t="s">
        <v>33</v>
      </c>
      <c r="J6" s="16">
        <f>COUNTBLANK(E1:E16)</f>
        <v>1</v>
      </c>
    </row>
    <row r="7" spans="1:10" ht="15" thickBot="1" x14ac:dyDescent="0.35">
      <c r="A7" s="2" t="s">
        <v>23</v>
      </c>
      <c r="B7" s="1">
        <v>29</v>
      </c>
      <c r="C7" s="1" t="s">
        <v>11</v>
      </c>
      <c r="D7" s="1" t="s">
        <v>8</v>
      </c>
      <c r="E7" s="1" t="s">
        <v>9</v>
      </c>
      <c r="F7" s="1">
        <v>500</v>
      </c>
      <c r="I7" s="17" t="s">
        <v>34</v>
      </c>
      <c r="J7" s="18">
        <f>COUNTBLANK(F1:F16)</f>
        <v>1</v>
      </c>
    </row>
    <row r="8" spans="1:10" ht="15" thickBot="1" x14ac:dyDescent="0.35">
      <c r="A8" s="1" t="s">
        <v>24</v>
      </c>
      <c r="B8" s="1">
        <v>41</v>
      </c>
      <c r="C8" s="1" t="s">
        <v>7</v>
      </c>
      <c r="D8" s="1" t="s">
        <v>12</v>
      </c>
      <c r="E8" s="3"/>
      <c r="F8" s="1">
        <v>5</v>
      </c>
    </row>
    <row r="9" spans="1:10" x14ac:dyDescent="0.3">
      <c r="A9" s="1" t="s">
        <v>25</v>
      </c>
      <c r="B9" s="3"/>
      <c r="C9" s="1" t="s">
        <v>11</v>
      </c>
      <c r="D9" s="1" t="s">
        <v>15</v>
      </c>
      <c r="E9" s="1" t="s">
        <v>16</v>
      </c>
      <c r="F9" s="1">
        <v>500</v>
      </c>
      <c r="I9" s="5" t="s">
        <v>35</v>
      </c>
      <c r="J9" s="6"/>
    </row>
    <row r="10" spans="1:10" ht="15" thickBot="1" x14ac:dyDescent="0.35">
      <c r="A10" s="2" t="s">
        <v>17</v>
      </c>
      <c r="B10" s="1">
        <v>34</v>
      </c>
      <c r="C10" s="1" t="s">
        <v>11</v>
      </c>
      <c r="D10" s="1" t="s">
        <v>8</v>
      </c>
      <c r="E10" s="1" t="s">
        <v>9</v>
      </c>
      <c r="F10" s="1">
        <v>500</v>
      </c>
      <c r="I10" s="7" t="s">
        <v>51</v>
      </c>
      <c r="J10" s="8"/>
    </row>
    <row r="11" spans="1:10" x14ac:dyDescent="0.3">
      <c r="A11" s="1" t="s">
        <v>26</v>
      </c>
      <c r="B11" s="1">
        <v>55</v>
      </c>
      <c r="C11" s="1" t="s">
        <v>7</v>
      </c>
      <c r="D11" s="3"/>
      <c r="E11" s="1" t="s">
        <v>22</v>
      </c>
      <c r="F11" s="1">
        <v>400</v>
      </c>
    </row>
    <row r="12" spans="1:10" x14ac:dyDescent="0.3">
      <c r="A12" s="1" t="s">
        <v>27</v>
      </c>
      <c r="B12" s="1">
        <v>38</v>
      </c>
      <c r="C12" s="3"/>
      <c r="D12" s="1" t="s">
        <v>8</v>
      </c>
      <c r="E12" s="1" t="s">
        <v>9</v>
      </c>
      <c r="F12" s="1">
        <v>500</v>
      </c>
    </row>
    <row r="13" spans="1:10" x14ac:dyDescent="0.3">
      <c r="A13" s="2" t="s">
        <v>10</v>
      </c>
      <c r="B13" s="1">
        <v>45</v>
      </c>
      <c r="C13" s="1" t="s">
        <v>11</v>
      </c>
      <c r="D13" s="1" t="s">
        <v>12</v>
      </c>
      <c r="E13" s="1" t="s">
        <v>13</v>
      </c>
      <c r="F13" s="1">
        <v>5</v>
      </c>
    </row>
    <row r="14" spans="1:10" x14ac:dyDescent="0.3">
      <c r="A14" s="1" t="s">
        <v>28</v>
      </c>
      <c r="B14" s="1">
        <v>62</v>
      </c>
      <c r="C14" s="1" t="s">
        <v>11</v>
      </c>
      <c r="D14" s="1" t="s">
        <v>21</v>
      </c>
      <c r="E14" s="1" t="s">
        <v>22</v>
      </c>
      <c r="F14" s="3"/>
    </row>
    <row r="15" spans="1:10" x14ac:dyDescent="0.3">
      <c r="A15" s="1" t="s">
        <v>29</v>
      </c>
      <c r="B15" s="1">
        <v>33</v>
      </c>
      <c r="C15" s="1" t="s">
        <v>7</v>
      </c>
      <c r="D15" s="1" t="s">
        <v>18</v>
      </c>
      <c r="E15" s="1" t="s">
        <v>19</v>
      </c>
      <c r="F15" s="1">
        <v>100</v>
      </c>
    </row>
    <row r="16" spans="1:10" x14ac:dyDescent="0.3">
      <c r="A16" s="2" t="s">
        <v>23</v>
      </c>
      <c r="B16" s="1">
        <v>29</v>
      </c>
      <c r="C16" s="1" t="s">
        <v>11</v>
      </c>
      <c r="D16" s="1" t="s">
        <v>8</v>
      </c>
      <c r="E16" s="1" t="s">
        <v>9</v>
      </c>
      <c r="F16" s="1">
        <v>500</v>
      </c>
    </row>
    <row r="18" spans="1:8" x14ac:dyDescent="0.3">
      <c r="A18" s="4"/>
    </row>
    <row r="20" spans="1:8" x14ac:dyDescent="0.3">
      <c r="F20" s="10"/>
      <c r="G20" s="10"/>
      <c r="H20" s="10"/>
    </row>
  </sheetData>
  <conditionalFormatting sqref="A1:F16 I2">
    <cfRule type="containsBlanks" dxfId="1" priority="1">
      <formula>LEN(TRIM(A1))=0</formula>
    </cfRule>
  </conditionalFormatting>
  <conditionalFormatting sqref="I9:I10 A1:A18 A21:A1048576">
    <cfRule type="duplicateValues" dxfId="0" priority="2"/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732A2-6784-4065-A4BE-6B934687E051}">
  <dimension ref="A1:R23"/>
  <sheetViews>
    <sheetView tabSelected="1" workbookViewId="0">
      <selection activeCell="L27" sqref="L27"/>
    </sheetView>
  </sheetViews>
  <sheetFormatPr defaultRowHeight="14.4" x14ac:dyDescent="0.3"/>
  <cols>
    <col min="1" max="1" width="15.109375" customWidth="1"/>
    <col min="3" max="3" width="11.6640625" customWidth="1"/>
    <col min="4" max="4" width="14.77734375" customWidth="1"/>
    <col min="5" max="5" width="18.77734375" customWidth="1"/>
    <col min="6" max="6" width="19" customWidth="1"/>
    <col min="7" max="7" width="1" customWidth="1"/>
    <col min="8" max="8" width="2.6640625" customWidth="1"/>
    <col min="9" max="9" width="2.109375" customWidth="1"/>
    <col min="10" max="10" width="23.44140625" customWidth="1"/>
    <col min="11" max="11" width="27.44140625" customWidth="1"/>
    <col min="12" max="12" width="5.21875" customWidth="1"/>
    <col min="13" max="13" width="17" customWidth="1"/>
    <col min="14" max="14" width="13.44140625" customWidth="1"/>
    <col min="15" max="15" width="8.5546875" customWidth="1"/>
    <col min="16" max="16" width="13" customWidth="1"/>
    <col min="17" max="17" width="3.88671875" customWidth="1"/>
    <col min="18" max="18" width="1.33203125" customWidth="1"/>
  </cols>
  <sheetData>
    <row r="1" spans="1:18" x14ac:dyDescent="0.3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2"/>
      <c r="R1" s="12"/>
    </row>
    <row r="2" spans="1:18" x14ac:dyDescent="0.3">
      <c r="A2" s="1" t="s">
        <v>6</v>
      </c>
      <c r="B2" s="1">
        <v>28</v>
      </c>
      <c r="C2" s="1" t="s">
        <v>7</v>
      </c>
      <c r="D2" s="1" t="s">
        <v>8</v>
      </c>
      <c r="E2" s="1" t="s">
        <v>9</v>
      </c>
      <c r="F2" s="1">
        <v>500</v>
      </c>
      <c r="G2" s="12"/>
      <c r="J2" s="19" t="s">
        <v>42</v>
      </c>
      <c r="K2" s="20" t="s">
        <v>43</v>
      </c>
      <c r="L2" s="21"/>
      <c r="M2" s="19" t="s">
        <v>47</v>
      </c>
      <c r="N2" s="20" t="s">
        <v>48</v>
      </c>
      <c r="O2" s="21"/>
      <c r="P2" s="21"/>
      <c r="R2" s="12"/>
    </row>
    <row r="3" spans="1:18" x14ac:dyDescent="0.3">
      <c r="A3" s="1" t="s">
        <v>10</v>
      </c>
      <c r="B3" s="1">
        <v>45</v>
      </c>
      <c r="C3" s="1" t="s">
        <v>11</v>
      </c>
      <c r="D3" s="1" t="s">
        <v>12</v>
      </c>
      <c r="E3" s="1" t="s">
        <v>13</v>
      </c>
      <c r="F3" s="1">
        <v>5</v>
      </c>
      <c r="G3" s="12"/>
      <c r="J3" s="22" t="s">
        <v>8</v>
      </c>
      <c r="K3" s="22">
        <v>4</v>
      </c>
      <c r="L3" s="21"/>
      <c r="M3" s="22" t="s">
        <v>9</v>
      </c>
      <c r="N3" s="22">
        <v>500</v>
      </c>
      <c r="O3" s="21"/>
      <c r="P3" s="21"/>
      <c r="R3" s="12"/>
    </row>
    <row r="4" spans="1:18" x14ac:dyDescent="0.3">
      <c r="A4" s="1" t="s">
        <v>14</v>
      </c>
      <c r="B4" s="1">
        <v>60</v>
      </c>
      <c r="C4" s="1" t="s">
        <v>7</v>
      </c>
      <c r="D4" s="1" t="s">
        <v>15</v>
      </c>
      <c r="E4" s="1" t="s">
        <v>16</v>
      </c>
      <c r="F4" s="1">
        <v>500</v>
      </c>
      <c r="G4" s="12"/>
      <c r="J4" s="23" t="s">
        <v>21</v>
      </c>
      <c r="K4" s="23">
        <v>3</v>
      </c>
      <c r="L4" s="21"/>
      <c r="M4" s="23" t="s">
        <v>16</v>
      </c>
      <c r="N4" s="23">
        <v>500</v>
      </c>
      <c r="O4" s="21"/>
      <c r="P4" s="21"/>
      <c r="R4" s="12"/>
    </row>
    <row r="5" spans="1:18" x14ac:dyDescent="0.3">
      <c r="A5" s="1" t="s">
        <v>17</v>
      </c>
      <c r="B5" s="1">
        <v>34</v>
      </c>
      <c r="C5" s="1" t="s">
        <v>11</v>
      </c>
      <c r="D5" s="1" t="s">
        <v>8</v>
      </c>
      <c r="E5" s="1" t="s">
        <v>9</v>
      </c>
      <c r="F5" s="1">
        <v>500</v>
      </c>
      <c r="G5" s="12"/>
      <c r="J5" s="23" t="s">
        <v>12</v>
      </c>
      <c r="K5" s="23">
        <v>2</v>
      </c>
      <c r="L5" s="21"/>
      <c r="M5" s="23" t="s">
        <v>22</v>
      </c>
      <c r="N5" s="23">
        <v>400</v>
      </c>
      <c r="O5" s="21"/>
      <c r="P5" s="21"/>
      <c r="R5" s="12"/>
    </row>
    <row r="6" spans="1:18" x14ac:dyDescent="0.3">
      <c r="A6" s="1" t="s">
        <v>20</v>
      </c>
      <c r="B6" s="1">
        <v>50</v>
      </c>
      <c r="C6" s="1" t="s">
        <v>7</v>
      </c>
      <c r="D6" s="1" t="s">
        <v>21</v>
      </c>
      <c r="E6" s="1" t="s">
        <v>22</v>
      </c>
      <c r="F6" s="1">
        <v>400</v>
      </c>
      <c r="G6" s="12"/>
      <c r="J6" s="23" t="s">
        <v>15</v>
      </c>
      <c r="K6" s="23">
        <v>2</v>
      </c>
      <c r="L6" s="21"/>
      <c r="M6" s="23" t="s">
        <v>19</v>
      </c>
      <c r="N6" s="23">
        <v>100</v>
      </c>
      <c r="O6" s="21"/>
      <c r="P6" s="21"/>
      <c r="R6" s="12"/>
    </row>
    <row r="7" spans="1:18" x14ac:dyDescent="0.3">
      <c r="A7" s="1" t="s">
        <v>23</v>
      </c>
      <c r="B7" s="1">
        <v>29</v>
      </c>
      <c r="C7" s="1" t="s">
        <v>11</v>
      </c>
      <c r="D7" s="1" t="s">
        <v>8</v>
      </c>
      <c r="E7" s="1" t="s">
        <v>9</v>
      </c>
      <c r="F7" s="1">
        <v>500</v>
      </c>
      <c r="G7" s="12"/>
      <c r="J7" s="24" t="s">
        <v>18</v>
      </c>
      <c r="K7" s="24">
        <v>1</v>
      </c>
      <c r="L7" s="21"/>
      <c r="M7" s="24" t="s">
        <v>13</v>
      </c>
      <c r="N7" s="24">
        <v>5</v>
      </c>
      <c r="O7" s="21"/>
      <c r="P7" s="21"/>
      <c r="R7" s="12"/>
    </row>
    <row r="8" spans="1:18" x14ac:dyDescent="0.3">
      <c r="A8" s="1" t="s">
        <v>24</v>
      </c>
      <c r="B8" s="1">
        <v>41</v>
      </c>
      <c r="C8" s="1" t="s">
        <v>7</v>
      </c>
      <c r="D8" s="1" t="s">
        <v>12</v>
      </c>
      <c r="E8" s="9" t="s">
        <v>13</v>
      </c>
      <c r="F8" s="1">
        <v>5</v>
      </c>
      <c r="G8" s="12"/>
      <c r="J8" s="20" t="s">
        <v>36</v>
      </c>
      <c r="K8" s="24">
        <v>12</v>
      </c>
      <c r="L8" s="21"/>
      <c r="M8" s="21"/>
      <c r="N8" s="21"/>
      <c r="O8" s="21"/>
      <c r="P8" s="21"/>
      <c r="R8" s="12"/>
    </row>
    <row r="9" spans="1:18" x14ac:dyDescent="0.3">
      <c r="A9" s="1" t="s">
        <v>25</v>
      </c>
      <c r="B9" s="1">
        <v>52</v>
      </c>
      <c r="C9" s="1" t="s">
        <v>11</v>
      </c>
      <c r="D9" s="1" t="s">
        <v>15</v>
      </c>
      <c r="E9" s="1" t="s">
        <v>16</v>
      </c>
      <c r="F9" s="1">
        <v>500</v>
      </c>
      <c r="G9" s="12"/>
      <c r="J9" s="21"/>
      <c r="K9" s="21"/>
      <c r="L9" s="21"/>
      <c r="M9" s="21"/>
      <c r="N9" s="21"/>
      <c r="O9" s="21"/>
      <c r="P9" s="21"/>
      <c r="R9" s="12"/>
    </row>
    <row r="10" spans="1:18" x14ac:dyDescent="0.3">
      <c r="A10" s="1" t="s">
        <v>26</v>
      </c>
      <c r="B10" s="1">
        <v>55</v>
      </c>
      <c r="C10" s="1" t="s">
        <v>7</v>
      </c>
      <c r="D10" s="9" t="s">
        <v>21</v>
      </c>
      <c r="E10" s="1" t="s">
        <v>22</v>
      </c>
      <c r="F10" s="1">
        <v>400</v>
      </c>
      <c r="G10" s="12"/>
      <c r="J10" s="19" t="s">
        <v>46</v>
      </c>
      <c r="K10" s="19" t="s">
        <v>46</v>
      </c>
      <c r="L10" s="25"/>
      <c r="M10" s="26"/>
      <c r="N10" s="26"/>
      <c r="O10" s="27"/>
      <c r="P10" s="27"/>
      <c r="R10" s="12"/>
    </row>
    <row r="11" spans="1:18" x14ac:dyDescent="0.3">
      <c r="A11" s="1" t="s">
        <v>27</v>
      </c>
      <c r="B11" s="1">
        <v>38</v>
      </c>
      <c r="C11" s="9" t="s">
        <v>7</v>
      </c>
      <c r="D11" s="1" t="s">
        <v>8</v>
      </c>
      <c r="E11" s="1" t="s">
        <v>9</v>
      </c>
      <c r="F11" s="1">
        <v>500</v>
      </c>
      <c r="G11" s="12"/>
      <c r="J11" s="19" t="s">
        <v>42</v>
      </c>
      <c r="K11" s="20" t="s">
        <v>12</v>
      </c>
      <c r="L11" s="26" t="s">
        <v>8</v>
      </c>
      <c r="M11" s="26" t="s">
        <v>15</v>
      </c>
      <c r="N11" s="26" t="s">
        <v>18</v>
      </c>
      <c r="O11" s="27" t="s">
        <v>21</v>
      </c>
      <c r="P11" s="20" t="s">
        <v>36</v>
      </c>
      <c r="R11" s="12"/>
    </row>
    <row r="12" spans="1:18" x14ac:dyDescent="0.3">
      <c r="A12" s="1" t="s">
        <v>28</v>
      </c>
      <c r="B12" s="1">
        <v>62</v>
      </c>
      <c r="C12" s="1" t="s">
        <v>11</v>
      </c>
      <c r="D12" s="1" t="s">
        <v>21</v>
      </c>
      <c r="E12" s="1" t="s">
        <v>22</v>
      </c>
      <c r="F12" s="1">
        <v>400</v>
      </c>
      <c r="G12" s="12"/>
      <c r="J12" s="20" t="s">
        <v>44</v>
      </c>
      <c r="K12" s="20">
        <v>1</v>
      </c>
      <c r="L12" s="20">
        <v>2</v>
      </c>
      <c r="M12" s="20">
        <v>1</v>
      </c>
      <c r="N12" s="20">
        <v>1</v>
      </c>
      <c r="O12" s="20">
        <v>2</v>
      </c>
      <c r="P12" s="20">
        <v>7</v>
      </c>
      <c r="R12" s="12"/>
    </row>
    <row r="13" spans="1:18" x14ac:dyDescent="0.3">
      <c r="A13" s="1" t="s">
        <v>29</v>
      </c>
      <c r="B13" s="1">
        <v>33</v>
      </c>
      <c r="C13" s="1" t="s">
        <v>7</v>
      </c>
      <c r="D13" s="1" t="s">
        <v>18</v>
      </c>
      <c r="E13" s="1" t="s">
        <v>19</v>
      </c>
      <c r="F13" s="1">
        <v>100</v>
      </c>
      <c r="G13" s="12"/>
      <c r="J13" s="24" t="s">
        <v>45</v>
      </c>
      <c r="K13" s="24">
        <v>1</v>
      </c>
      <c r="L13" s="28">
        <v>2</v>
      </c>
      <c r="M13" s="28">
        <v>1</v>
      </c>
      <c r="N13" s="28"/>
      <c r="O13" s="28">
        <v>1</v>
      </c>
      <c r="P13" s="28">
        <v>5</v>
      </c>
      <c r="R13" s="12"/>
    </row>
    <row r="14" spans="1:18" x14ac:dyDescent="0.3">
      <c r="G14" s="12"/>
      <c r="J14" s="21"/>
      <c r="K14" s="21"/>
      <c r="L14" s="21"/>
      <c r="M14" s="21"/>
      <c r="N14" s="21"/>
      <c r="O14" s="21"/>
      <c r="P14" s="21"/>
      <c r="R14" s="12"/>
    </row>
    <row r="15" spans="1:18" x14ac:dyDescent="0.3">
      <c r="G15" s="12"/>
      <c r="J15" s="29" t="s">
        <v>49</v>
      </c>
      <c r="K15" s="30" t="s">
        <v>50</v>
      </c>
      <c r="L15" s="31"/>
      <c r="M15" s="31"/>
      <c r="N15" s="31"/>
      <c r="O15" s="31"/>
      <c r="P15" s="31"/>
      <c r="R15" s="12"/>
    </row>
    <row r="16" spans="1:18" x14ac:dyDescent="0.3">
      <c r="G16" s="12"/>
      <c r="J16" s="23" t="s">
        <v>37</v>
      </c>
      <c r="K16" s="32">
        <v>2</v>
      </c>
      <c r="L16" s="21"/>
      <c r="M16" s="21"/>
      <c r="N16" s="21"/>
      <c r="O16" s="21"/>
      <c r="P16" s="21"/>
      <c r="R16" s="12"/>
    </row>
    <row r="17" spans="1:18" x14ac:dyDescent="0.3">
      <c r="G17" s="12"/>
      <c r="J17" s="23" t="s">
        <v>38</v>
      </c>
      <c r="K17" s="32">
        <v>3</v>
      </c>
      <c r="L17" s="21"/>
      <c r="M17" s="21"/>
      <c r="N17" s="21"/>
      <c r="O17" s="21"/>
      <c r="P17" s="21"/>
      <c r="R17" s="12"/>
    </row>
    <row r="18" spans="1:18" x14ac:dyDescent="0.3">
      <c r="G18" s="12"/>
      <c r="J18" s="23" t="s">
        <v>39</v>
      </c>
      <c r="K18" s="32">
        <v>2</v>
      </c>
      <c r="L18" s="21"/>
      <c r="M18" s="21"/>
      <c r="N18" s="21"/>
      <c r="O18" s="21"/>
      <c r="P18" s="21"/>
      <c r="R18" s="12"/>
    </row>
    <row r="19" spans="1:18" x14ac:dyDescent="0.3">
      <c r="G19" s="12"/>
      <c r="J19" s="23" t="s">
        <v>40</v>
      </c>
      <c r="K19" s="32">
        <v>3</v>
      </c>
      <c r="L19" s="21"/>
      <c r="M19" s="21"/>
      <c r="N19" s="21"/>
      <c r="O19" s="21"/>
      <c r="P19" s="21"/>
      <c r="R19" s="12"/>
    </row>
    <row r="20" spans="1:18" x14ac:dyDescent="0.3">
      <c r="G20" s="12"/>
      <c r="J20" s="23" t="s">
        <v>41</v>
      </c>
      <c r="K20" s="32">
        <v>2</v>
      </c>
      <c r="L20" s="21"/>
      <c r="M20" s="21"/>
      <c r="N20" s="21"/>
      <c r="O20" s="21"/>
      <c r="P20" s="21"/>
      <c r="R20" s="12"/>
    </row>
    <row r="21" spans="1:18" x14ac:dyDescent="0.3">
      <c r="G21" s="12"/>
      <c r="J21" s="24" t="s">
        <v>36</v>
      </c>
      <c r="K21" s="28">
        <v>12</v>
      </c>
      <c r="L21" s="21"/>
      <c r="M21" s="21"/>
      <c r="N21" s="21"/>
      <c r="O21" s="21"/>
      <c r="P21" s="21"/>
      <c r="R21" s="12"/>
    </row>
    <row r="22" spans="1:18" x14ac:dyDescent="0.3">
      <c r="G22" s="12"/>
      <c r="R22" s="12"/>
    </row>
    <row r="23" spans="1:18" ht="9.6" customHeight="1" x14ac:dyDescent="0.3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Patient Records(UNCLEAN)</vt:lpstr>
      <vt:lpstr>Patient Records(CLEAN&amp;ANALYSED)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SNEHA P</cp:lastModifiedBy>
  <dcterms:created xsi:type="dcterms:W3CDTF">2026-09-03T05:29:10Z</dcterms:created>
  <dcterms:modified xsi:type="dcterms:W3CDTF">2026-09-03T11:33:20Z</dcterms:modified>
</cp:coreProperties>
</file>