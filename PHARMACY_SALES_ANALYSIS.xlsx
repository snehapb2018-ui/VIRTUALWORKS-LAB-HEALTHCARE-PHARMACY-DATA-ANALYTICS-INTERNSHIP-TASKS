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RESH BABU C\Documents\SNEHA\VIRTUAL WORKS LAB INTERNSHIP\DA\"/>
    </mc:Choice>
  </mc:AlternateContent>
  <xr:revisionPtr revIDLastSave="0" documentId="13_ncr:1_{B6E1521C-8F02-408F-92C5-0B24D4C9CBC2}" xr6:coauthVersionLast="47" xr6:coauthVersionMax="47" xr10:uidLastSave="{00000000-0000-0000-0000-000000000000}"/>
  <bookViews>
    <workbookView xWindow="-108" yWindow="-108" windowWidth="23256" windowHeight="12456" xr2:uid="{9700235D-98D2-432A-8AFD-849B39A50D41}"/>
  </bookViews>
  <sheets>
    <sheet name="Pharmacy Sales Data" sheetId="1" r:id="rId1"/>
    <sheet name="Pharmacy Sales Visualisation" sheetId="2" r:id="rId2"/>
  </sheets>
  <definedNames>
    <definedName name="Slicer_CATEGORY">#N/A</definedName>
    <definedName name="Slicer_DRUG_NAME">#N/A</definedName>
    <definedName name="Slicer_GENERIC_BRAND">#N/A</definedName>
    <definedName name="Slicer_Months__DATE">#N/A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7" i="1" l="1"/>
  <c r="L26" i="1"/>
  <c r="L24" i="1"/>
  <c r="L23" i="1"/>
  <c r="G44" i="1"/>
  <c r="G45" i="1"/>
  <c r="G36" i="1"/>
  <c r="G37" i="1"/>
  <c r="G28" i="1"/>
  <c r="G29" i="1"/>
  <c r="G20" i="1"/>
  <c r="G21" i="1"/>
  <c r="G13" i="1"/>
  <c r="G12" i="1"/>
  <c r="G5" i="1"/>
  <c r="G4" i="1"/>
  <c r="G46" i="1"/>
  <c r="G47" i="1"/>
  <c r="G48" i="1"/>
  <c r="G49" i="1"/>
  <c r="G50" i="1"/>
  <c r="G43" i="1"/>
  <c r="G42" i="1"/>
  <c r="G38" i="1"/>
  <c r="G39" i="1"/>
  <c r="G40" i="1"/>
  <c r="G41" i="1"/>
  <c r="G35" i="1"/>
  <c r="G31" i="1"/>
  <c r="G32" i="1"/>
  <c r="G33" i="1"/>
  <c r="G34" i="1"/>
  <c r="G30" i="1"/>
  <c r="G27" i="1"/>
  <c r="G22" i="1"/>
  <c r="G23" i="1"/>
  <c r="G24" i="1"/>
  <c r="G25" i="1"/>
  <c r="G26" i="1"/>
  <c r="G19" i="1"/>
  <c r="G14" i="1"/>
  <c r="G15" i="1"/>
  <c r="G16" i="1"/>
  <c r="G17" i="1"/>
  <c r="G18" i="1"/>
  <c r="G11" i="1"/>
  <c r="G3" i="1"/>
  <c r="G6" i="1"/>
  <c r="G7" i="1"/>
  <c r="G8" i="1"/>
  <c r="G9" i="1"/>
  <c r="G10" i="1"/>
</calcChain>
</file>

<file path=xl/sharedStrings.xml><?xml version="1.0" encoding="utf-8"?>
<sst xmlns="http://schemas.openxmlformats.org/spreadsheetml/2006/main" count="185" uniqueCount="35">
  <si>
    <t>DATE</t>
  </si>
  <si>
    <t>DRUG NAME</t>
  </si>
  <si>
    <t>CATEGORY</t>
  </si>
  <si>
    <t>QUANTITY</t>
  </si>
  <si>
    <t>PRICE[USD]</t>
  </si>
  <si>
    <t>SALES[USD]</t>
  </si>
  <si>
    <t>PARACETAMOL</t>
  </si>
  <si>
    <t>PAIN RELIEF</t>
  </si>
  <si>
    <t>IBUPROFEN</t>
  </si>
  <si>
    <t>AMOXICILLIN</t>
  </si>
  <si>
    <t>ANTIBIOTIC</t>
  </si>
  <si>
    <t xml:space="preserve">CETRIZINE </t>
  </si>
  <si>
    <t>ANTI-HISTAMINE</t>
  </si>
  <si>
    <t>AZITHROMYCIN</t>
  </si>
  <si>
    <t>OFLOXACIN</t>
  </si>
  <si>
    <t>Grand Total</t>
  </si>
  <si>
    <t>Jan</t>
  </si>
  <si>
    <t>Feb</t>
  </si>
  <si>
    <t>Mar</t>
  </si>
  <si>
    <t>Apr</t>
  </si>
  <si>
    <t>May</t>
  </si>
  <si>
    <t>Jun</t>
  </si>
  <si>
    <t>MONTH</t>
  </si>
  <si>
    <t xml:space="preserve"> </t>
  </si>
  <si>
    <t>CALPOL</t>
  </si>
  <si>
    <t>GENERIC/BRAND</t>
  </si>
  <si>
    <t>GENERIC</t>
  </si>
  <si>
    <t>BRAND</t>
  </si>
  <si>
    <t>ADVIL</t>
  </si>
  <si>
    <t>MONTHLY SALES OF DRUGS</t>
  </si>
  <si>
    <t>GENERIC VS BRAND DRUG SALES</t>
  </si>
  <si>
    <t>HIGHEST PRICE OF DRUG</t>
  </si>
  <si>
    <t xml:space="preserve"> LEAST PRICE OF DRUG</t>
  </si>
  <si>
    <t>HIGHEST QUANTITY ORDERED</t>
  </si>
  <si>
    <t>LEAST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</si>
</sst>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4" x14ac:knownFonts="1">
    <font>
      <sz val="11"/>
      <color theme="1"/>
      <name val="Calibri"/>
      <family val="2"/>
      <scheme val="minor"/>
    </font>
    <font>
      <sz val="20"/>
      <color theme="1"/>
      <name val="Calibri"/>
      <family val="2"/>
      <scheme val="minor"/>
    </font>
    <font>
      <sz val="16"/>
      <color theme="1"/>
      <name val="Calibri"/>
      <family val="2"/>
      <scheme val="minor"/>
    </font>
    <font>
      <sz val="18"/>
      <color theme="1"/>
      <name val="Calibri"/>
      <family val="2"/>
      <scheme val="minor"/>
    </font>
    <font>
      <sz val="8"/>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b/>
      <sz val="22"/>
      <color theme="1"/>
      <name val="Calibri"/>
      <family val="2"/>
      <scheme val="minor"/>
    </font>
    <font>
      <sz val="16"/>
      <color rgb="FFC00000"/>
      <name val="Calibri"/>
      <family val="2"/>
      <scheme val="minor"/>
    </font>
    <font>
      <sz val="18"/>
      <color rgb="FFC00000"/>
      <name val="Calibri"/>
      <family val="2"/>
      <scheme val="minor"/>
    </font>
    <font>
      <b/>
      <sz val="14"/>
      <color rgb="FFC00000"/>
      <name val="Calibri"/>
      <family val="2"/>
      <scheme val="minor"/>
    </font>
    <font>
      <b/>
      <sz val="20"/>
      <color rgb="FFC00000"/>
      <name val="Calibri"/>
      <family val="2"/>
      <scheme val="minor"/>
    </font>
    <font>
      <b/>
      <sz val="20"/>
      <color theme="1"/>
      <name val="Calibri"/>
      <family val="2"/>
      <scheme val="minor"/>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0" fillId="0" borderId="5" xfId="0" applyBorder="1"/>
    <xf numFmtId="0" fontId="0" fillId="0" borderId="0" xfId="0" applyAlignment="1">
      <alignment horizontal="center"/>
    </xf>
    <xf numFmtId="17" fontId="1" fillId="0" borderId="1" xfId="0" applyNumberFormat="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17" fontId="1" fillId="0" borderId="2" xfId="0" applyNumberFormat="1" applyFont="1" applyBorder="1" applyAlignment="1">
      <alignment horizontal="center"/>
    </xf>
    <xf numFmtId="164" fontId="0" fillId="0" borderId="8" xfId="0" applyNumberForma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14" fontId="0" fillId="0" borderId="8" xfId="0" applyNumberFormat="1"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3" fillId="0" borderId="18" xfId="0" applyFont="1" applyBorder="1"/>
    <xf numFmtId="0" fontId="10" fillId="0" borderId="19" xfId="0" applyFont="1" applyBorder="1"/>
    <xf numFmtId="0" fontId="12" fillId="0" borderId="19" xfId="0" applyFont="1" applyBorder="1"/>
    <xf numFmtId="0" fontId="13" fillId="0" borderId="18" xfId="0" applyFont="1" applyBorder="1"/>
    <xf numFmtId="0" fontId="11" fillId="0" borderId="14" xfId="0" applyFont="1" applyBorder="1" applyAlignment="1">
      <alignment horizontal="center"/>
    </xf>
    <xf numFmtId="0" fontId="11" fillId="0" borderId="15" xfId="0" applyFont="1" applyBorder="1" applyAlignment="1">
      <alignment horizontal="center"/>
    </xf>
    <xf numFmtId="0" fontId="6" fillId="0" borderId="17" xfId="0" applyFont="1" applyBorder="1" applyAlignment="1">
      <alignment horizontal="center"/>
    </xf>
    <xf numFmtId="0" fontId="6" fillId="0" borderId="13"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2" fillId="0" borderId="17" xfId="0" applyFont="1" applyBorder="1" applyAlignment="1">
      <alignment horizontal="center"/>
    </xf>
    <xf numFmtId="0" fontId="2" fillId="0" borderId="13" xfId="0" applyFont="1" applyBorder="1" applyAlignment="1">
      <alignment horizontal="center"/>
    </xf>
    <xf numFmtId="0" fontId="0" fillId="0" borderId="5" xfId="0" applyNumberFormat="1" applyBorder="1"/>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0" fillId="0" borderId="20" xfId="0" pivotButton="1" applyBorder="1"/>
    <xf numFmtId="0" fontId="0" fillId="0" borderId="0" xfId="0" pivotButton="1" applyBorder="1"/>
    <xf numFmtId="0" fontId="0" fillId="0" borderId="0" xfId="0" applyBorder="1"/>
    <xf numFmtId="0" fontId="0" fillId="0" borderId="20" xfId="0" applyBorder="1" applyAlignment="1">
      <alignment horizontal="left"/>
    </xf>
    <xf numFmtId="0" fontId="0" fillId="0" borderId="0" xfId="0" applyNumberFormat="1" applyBorder="1"/>
    <xf numFmtId="0" fontId="0" fillId="0" borderId="21" xfId="0" applyBorder="1" applyAlignment="1">
      <alignment horizontal="left"/>
    </xf>
    <xf numFmtId="0" fontId="0" fillId="0" borderId="7" xfId="0" applyNumberFormat="1" applyBorder="1"/>
    <xf numFmtId="0" fontId="0" fillId="0" borderId="8" xfId="0" applyNumberFormat="1" applyBorder="1"/>
  </cellXfs>
  <cellStyles count="1">
    <cellStyle name="Normal" xfId="0" builtinId="0"/>
  </cellStyles>
  <dxfs count="1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6" tint="0.59996337778862885"/>
        </patternFill>
      </fill>
    </dxf>
    <dxf>
      <font>
        <b/>
        <i val="0"/>
      </font>
      <border>
        <vertical/>
        <horizontal/>
      </border>
    </dxf>
    <dxf>
      <font>
        <b/>
        <i val="0"/>
        <strike val="0"/>
      </font>
      <border>
        <left style="thin">
          <color rgb="FFC00000"/>
        </left>
        <right style="thin">
          <color rgb="FFC00000"/>
        </right>
        <top style="thin">
          <color rgb="FFC00000"/>
        </top>
        <bottom style="thin">
          <color rgb="FFC00000"/>
        </bottom>
        <vertical/>
        <horizontal/>
      </border>
    </dxf>
    <dxf>
      <font>
        <b/>
        <i val="0"/>
      </font>
      <border>
        <left style="thin">
          <color rgb="FFC00000"/>
        </left>
        <right style="thin">
          <color rgb="FFC00000"/>
        </right>
        <top style="thin">
          <color rgb="FFC00000"/>
        </top>
        <bottom style="thin">
          <color rgb="FFC00000"/>
        </bottom>
        <vertical/>
        <horizontal/>
      </border>
    </dxf>
    <dxf>
      <border>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[PHARMACY_SALES_ANALYSIS.xlsx]Pharmacy Sales Data!PivotTable8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MONTHLY</a:t>
            </a:r>
            <a:r>
              <a:rPr lang="en-IN" sz="2000" b="1" baseline="0"/>
              <a:t> SALES OF DRUGS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'Pharmacy Sales Data'!$J$3:$J$4</c:f>
              <c:strCache>
                <c:ptCount val="1"/>
                <c:pt idx="0">
                  <c:v>ADVIL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Data'!$J$5:$J$11</c:f>
              <c:numCache>
                <c:formatCode>General</c:formatCode>
                <c:ptCount val="6"/>
                <c:pt idx="0">
                  <c:v>42</c:v>
                </c:pt>
                <c:pt idx="1">
                  <c:v>31.499999999999996</c:v>
                </c:pt>
                <c:pt idx="2">
                  <c:v>29.749999999999996</c:v>
                </c:pt>
                <c:pt idx="3">
                  <c:v>28</c:v>
                </c:pt>
                <c:pt idx="4">
                  <c:v>28</c:v>
                </c:pt>
                <c:pt idx="5">
                  <c:v>26.599999999999998</c:v>
                </c:pt>
              </c:numCache>
            </c:numRef>
          </c:val>
          <c:smooth val="0"/>
          <c:extLst>
            <c:ext xmlns:c16="http://schemas.microsoft.com/office/drawing/2014/chart" uri="{C3380CC4-5D6E-409C-BE32-E72D297353CC}">
              <c16:uniqueId val="{00000029-0735-43D1-9817-1CDFA8D430F6}"/>
            </c:ext>
          </c:extLst>
        </c:ser>
        <c:ser>
          <c:idx val="1"/>
          <c:order val="1"/>
          <c:tx>
            <c:strRef>
              <c:f>'Pharmacy Sales Data'!$K$3:$K$4</c:f>
              <c:strCache>
                <c:ptCount val="1"/>
                <c:pt idx="0">
                  <c:v>AMOXICILLIN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Data'!$K$5:$K$11</c:f>
              <c:numCache>
                <c:formatCode>General</c:formatCode>
                <c:ptCount val="6"/>
                <c:pt idx="0">
                  <c:v>45</c:v>
                </c:pt>
                <c:pt idx="1">
                  <c:v>50</c:v>
                </c:pt>
                <c:pt idx="2">
                  <c:v>49.5</c:v>
                </c:pt>
                <c:pt idx="3">
                  <c:v>33.5</c:v>
                </c:pt>
                <c:pt idx="4">
                  <c:v>35</c:v>
                </c:pt>
                <c:pt idx="5">
                  <c:v>40</c:v>
                </c:pt>
              </c:numCache>
            </c:numRef>
          </c:val>
          <c:smooth val="0"/>
          <c:extLst>
            <c:ext xmlns:c16="http://schemas.microsoft.com/office/drawing/2014/chart" uri="{C3380CC4-5D6E-409C-BE32-E72D297353CC}">
              <c16:uniqueId val="{00000079-0735-43D1-9817-1CDFA8D430F6}"/>
            </c:ext>
          </c:extLst>
        </c:ser>
        <c:ser>
          <c:idx val="2"/>
          <c:order val="2"/>
          <c:tx>
            <c:strRef>
              <c:f>'Pharmacy Sales Data'!$L$3:$L$4</c:f>
              <c:strCache>
                <c:ptCount val="1"/>
                <c:pt idx="0">
                  <c:v>AZITHROMYCIN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Data'!$L$5:$L$11</c:f>
              <c:numCache>
                <c:formatCode>General</c:formatCode>
                <c:ptCount val="6"/>
                <c:pt idx="0">
                  <c:v>90</c:v>
                </c:pt>
                <c:pt idx="1">
                  <c:v>97.5</c:v>
                </c:pt>
                <c:pt idx="2">
                  <c:v>97.5</c:v>
                </c:pt>
                <c:pt idx="3">
                  <c:v>60</c:v>
                </c:pt>
                <c:pt idx="4">
                  <c:v>90</c:v>
                </c:pt>
                <c:pt idx="5">
                  <c:v>105</c:v>
                </c:pt>
              </c:numCache>
            </c:numRef>
          </c:val>
          <c:smooth val="0"/>
          <c:extLst>
            <c:ext xmlns:c16="http://schemas.microsoft.com/office/drawing/2014/chart" uri="{C3380CC4-5D6E-409C-BE32-E72D297353CC}">
              <c16:uniqueId val="{0000007A-0735-43D1-9817-1CDFA8D430F6}"/>
            </c:ext>
          </c:extLst>
        </c:ser>
        <c:ser>
          <c:idx val="3"/>
          <c:order val="3"/>
          <c:tx>
            <c:strRef>
              <c:f>'Pharmacy Sales Data'!$M$3:$M$4</c:f>
              <c:strCache>
                <c:ptCount val="1"/>
                <c:pt idx="0">
                  <c:v>CALPOL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Data'!$M$5:$M$11</c:f>
              <c:numCache>
                <c:formatCode>General</c:formatCode>
                <c:ptCount val="6"/>
                <c:pt idx="0">
                  <c:v>34.799999999999997</c:v>
                </c:pt>
                <c:pt idx="1">
                  <c:v>28.999999999999996</c:v>
                </c:pt>
                <c:pt idx="2">
                  <c:v>28.999999999999996</c:v>
                </c:pt>
                <c:pt idx="3">
                  <c:v>34.799999999999997</c:v>
                </c:pt>
                <c:pt idx="4">
                  <c:v>34.799999999999997</c:v>
                </c:pt>
                <c:pt idx="5">
                  <c:v>28.419999999999998</c:v>
                </c:pt>
              </c:numCache>
            </c:numRef>
          </c:val>
          <c:smooth val="0"/>
          <c:extLst>
            <c:ext xmlns:c16="http://schemas.microsoft.com/office/drawing/2014/chart" uri="{C3380CC4-5D6E-409C-BE32-E72D297353CC}">
              <c16:uniqueId val="{0000007B-0735-43D1-9817-1CDFA8D430F6}"/>
            </c:ext>
          </c:extLst>
        </c:ser>
        <c:ser>
          <c:idx val="4"/>
          <c:order val="4"/>
          <c:tx>
            <c:strRef>
              <c:f>'Pharmacy Sales Data'!$N$3:$N$4</c:f>
              <c:strCache>
                <c:ptCount val="1"/>
                <c:pt idx="0">
                  <c:v>CETRIZINE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Data'!$N$5:$N$11</c:f>
              <c:numCache>
                <c:formatCode>General</c:formatCode>
                <c:ptCount val="6"/>
                <c:pt idx="0">
                  <c:v>42.000000000000007</c:v>
                </c:pt>
                <c:pt idx="1">
                  <c:v>50.400000000000006</c:v>
                </c:pt>
                <c:pt idx="2">
                  <c:v>42.56</c:v>
                </c:pt>
                <c:pt idx="3">
                  <c:v>28.000000000000004</c:v>
                </c:pt>
                <c:pt idx="4">
                  <c:v>44.52</c:v>
                </c:pt>
                <c:pt idx="5">
                  <c:v>40.6</c:v>
                </c:pt>
              </c:numCache>
            </c:numRef>
          </c:val>
          <c:smooth val="0"/>
          <c:extLst>
            <c:ext xmlns:c16="http://schemas.microsoft.com/office/drawing/2014/chart" uri="{C3380CC4-5D6E-409C-BE32-E72D297353CC}">
              <c16:uniqueId val="{0000007C-0735-43D1-9817-1CDFA8D430F6}"/>
            </c:ext>
          </c:extLst>
        </c:ser>
        <c:ser>
          <c:idx val="5"/>
          <c:order val="5"/>
          <c:tx>
            <c:strRef>
              <c:f>'Pharmacy Sales Data'!$O$3:$O$4</c:f>
              <c:strCache>
                <c:ptCount val="1"/>
                <c:pt idx="0">
                  <c:v>IBUPROFEN</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Data'!$O$5:$O$11</c:f>
              <c:numCache>
                <c:formatCode>General</c:formatCode>
                <c:ptCount val="6"/>
                <c:pt idx="0">
                  <c:v>42.5</c:v>
                </c:pt>
                <c:pt idx="1">
                  <c:v>37.5</c:v>
                </c:pt>
                <c:pt idx="2">
                  <c:v>43</c:v>
                </c:pt>
                <c:pt idx="3">
                  <c:v>40</c:v>
                </c:pt>
                <c:pt idx="4">
                  <c:v>47.5</c:v>
                </c:pt>
                <c:pt idx="5">
                  <c:v>40</c:v>
                </c:pt>
              </c:numCache>
            </c:numRef>
          </c:val>
          <c:smooth val="0"/>
          <c:extLst>
            <c:ext xmlns:c16="http://schemas.microsoft.com/office/drawing/2014/chart" uri="{C3380CC4-5D6E-409C-BE32-E72D297353CC}">
              <c16:uniqueId val="{0000007D-0735-43D1-9817-1CDFA8D430F6}"/>
            </c:ext>
          </c:extLst>
        </c:ser>
        <c:ser>
          <c:idx val="6"/>
          <c:order val="6"/>
          <c:tx>
            <c:strRef>
              <c:f>'Pharmacy Sales Data'!$P$3:$P$4</c:f>
              <c:strCache>
                <c:ptCount val="1"/>
                <c:pt idx="0">
                  <c:v>OFLOXACIN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Data'!$P$5:$P$11</c:f>
              <c:numCache>
                <c:formatCode>General</c:formatCode>
                <c:ptCount val="6"/>
                <c:pt idx="0">
                  <c:v>52.199999999999996</c:v>
                </c:pt>
                <c:pt idx="1">
                  <c:v>52.779999999999994</c:v>
                </c:pt>
                <c:pt idx="2">
                  <c:v>52.779999999999994</c:v>
                </c:pt>
                <c:pt idx="3">
                  <c:v>49.3</c:v>
                </c:pt>
                <c:pt idx="4">
                  <c:v>54.809999999999995</c:v>
                </c:pt>
                <c:pt idx="5">
                  <c:v>50.459999999999994</c:v>
                </c:pt>
              </c:numCache>
            </c:numRef>
          </c:val>
          <c:smooth val="0"/>
          <c:extLst>
            <c:ext xmlns:c16="http://schemas.microsoft.com/office/drawing/2014/chart" uri="{C3380CC4-5D6E-409C-BE32-E72D297353CC}">
              <c16:uniqueId val="{0000007E-0735-43D1-9817-1CDFA8D430F6}"/>
            </c:ext>
          </c:extLst>
        </c:ser>
        <c:ser>
          <c:idx val="7"/>
          <c:order val="7"/>
          <c:tx>
            <c:strRef>
              <c:f>'Pharmacy Sales Data'!$Q$3:$Q$4</c:f>
              <c:strCache>
                <c:ptCount val="1"/>
                <c:pt idx="0">
                  <c:v>PARACETAMOL</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'Pharmacy Sales Data'!$I$5:$I$11</c:f>
              <c:strCache>
                <c:ptCount val="6"/>
                <c:pt idx="0">
                  <c:v>Jan</c:v>
                </c:pt>
                <c:pt idx="1">
                  <c:v>Feb</c:v>
                </c:pt>
                <c:pt idx="2">
                  <c:v>Mar</c:v>
                </c:pt>
                <c:pt idx="3">
                  <c:v>Apr</c:v>
                </c:pt>
                <c:pt idx="4">
                  <c:v>May</c:v>
                </c:pt>
                <c:pt idx="5">
                  <c:v>Jun</c:v>
                </c:pt>
              </c:strCache>
            </c:strRef>
          </c:cat>
          <c:val>
            <c:numRef>
              <c:f>'Pharmacy Sales Data'!$Q$5:$Q$11</c:f>
              <c:numCache>
                <c:formatCode>General</c:formatCode>
                <c:ptCount val="6"/>
                <c:pt idx="0">
                  <c:v>28.6</c:v>
                </c:pt>
                <c:pt idx="1">
                  <c:v>37.4</c:v>
                </c:pt>
                <c:pt idx="2">
                  <c:v>30.8</c:v>
                </c:pt>
                <c:pt idx="3">
                  <c:v>28.16</c:v>
                </c:pt>
                <c:pt idx="4">
                  <c:v>25.3</c:v>
                </c:pt>
                <c:pt idx="5">
                  <c:v>33</c:v>
                </c:pt>
              </c:numCache>
            </c:numRef>
          </c:val>
          <c:smooth val="0"/>
          <c:extLst>
            <c:ext xmlns:c16="http://schemas.microsoft.com/office/drawing/2014/chart" uri="{C3380CC4-5D6E-409C-BE32-E72D297353CC}">
              <c16:uniqueId val="{0000007F-0735-43D1-9817-1CDFA8D430F6}"/>
            </c:ext>
          </c:extLst>
        </c:ser>
        <c:dLbls>
          <c:showLegendKey val="0"/>
          <c:showVal val="0"/>
          <c:showCatName val="0"/>
          <c:showSerName val="0"/>
          <c:showPercent val="0"/>
          <c:showBubbleSize val="0"/>
        </c:dLbls>
        <c:marker val="1"/>
        <c:smooth val="0"/>
        <c:axId val="1846534207"/>
        <c:axId val="1937072223"/>
      </c:lineChart>
      <c:catAx>
        <c:axId val="184653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072223"/>
        <c:crosses val="autoZero"/>
        <c:auto val="1"/>
        <c:lblAlgn val="ctr"/>
        <c:lblOffset val="100"/>
        <c:noMultiLvlLbl val="0"/>
      </c:catAx>
      <c:valAx>
        <c:axId val="193707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534207"/>
        <c:crosses val="autoZero"/>
        <c:crossBetween val="between"/>
      </c:valAx>
      <c:spPr>
        <a:noFill/>
        <a:ln>
          <a:noFill/>
        </a:ln>
        <a:effectLst/>
      </c:spPr>
    </c:plotArea>
    <c:legend>
      <c:legendPos val="r"/>
      <c:layout>
        <c:manualLayout>
          <c:xMode val="edge"/>
          <c:yMode val="edge"/>
          <c:x val="0.73613823272090984"/>
          <c:y val="0.26767315543890352"/>
          <c:w val="0.24719510061242345"/>
          <c:h val="0.61472331583552053"/>
        </c:manualLayout>
      </c:layout>
      <c:overlay val="0"/>
      <c:spPr>
        <a:noFill/>
        <a:ln w="19050">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[PHARMACY_SALES_ANALYSIS.xlsx]Pharmacy Sales Data!PivotTable9</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GENERIC VS BRAND DRUG SALES</a:t>
            </a:r>
          </a:p>
        </c:rich>
      </c:tx>
      <c:layout>
        <c:manualLayout>
          <c:xMode val="edge"/>
          <c:yMode val="edge"/>
          <c:x val="0.15011111111111114"/>
          <c:y val="9.157188684747739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'Pharmacy Sales Data'!$J$17:$J$18</c:f>
              <c:strCache>
                <c:ptCount val="1"/>
                <c:pt idx="0">
                  <c:v>ANTIBIOTIC</c:v>
                </c:pt>
              </c:strCache>
            </c:strRef>
          </c:tx>
          <c:spPr>
            <a:solidFill>
              <a:schemeClr val="accent2">
                <a:shade val="65000"/>
              </a:schemeClr>
            </a:solidFill>
            <a:ln>
              <a:noFill/>
            </a:ln>
            <a:effectLst/>
          </c:spPr>
          <c:invertIfNegative val="0"/>
          <c:cat>
            <c:strRef>
              <c:f>'Pharmacy Sales Data'!$I$19:$I$21</c:f>
              <c:strCache>
                <c:ptCount val="2"/>
                <c:pt idx="0">
                  <c:v>BRAND</c:v>
                </c:pt>
                <c:pt idx="1">
                  <c:v>GENERIC</c:v>
                </c:pt>
              </c:strCache>
            </c:strRef>
          </c:cat>
          <c:val>
            <c:numRef>
              <c:f>'Pharmacy Sales Data'!$J$19:$J$21</c:f>
              <c:numCache>
                <c:formatCode>General</c:formatCode>
                <c:ptCount val="2"/>
                <c:pt idx="1">
                  <c:v>1105.33</c:v>
                </c:pt>
              </c:numCache>
            </c:numRef>
          </c:val>
          <c:extLst>
            <c:ext xmlns:c16="http://schemas.microsoft.com/office/drawing/2014/chart" uri="{C3380CC4-5D6E-409C-BE32-E72D297353CC}">
              <c16:uniqueId val="{00000000-80AE-412F-86B4-303A1C6D55B4}"/>
            </c:ext>
          </c:extLst>
        </c:ser>
        <c:ser>
          <c:idx val="1"/>
          <c:order val="1"/>
          <c:tx>
            <c:strRef>
              <c:f>'Pharmacy Sales Data'!$K$17:$K$18</c:f>
              <c:strCache>
                <c:ptCount val="1"/>
                <c:pt idx="0">
                  <c:v>ANTI-HISTAMINE</c:v>
                </c:pt>
              </c:strCache>
            </c:strRef>
          </c:tx>
          <c:spPr>
            <a:solidFill>
              <a:schemeClr val="accent2"/>
            </a:solidFill>
            <a:ln>
              <a:noFill/>
            </a:ln>
            <a:effectLst/>
          </c:spPr>
          <c:invertIfNegative val="0"/>
          <c:cat>
            <c:strRef>
              <c:f>'Pharmacy Sales Data'!$I$19:$I$21</c:f>
              <c:strCache>
                <c:ptCount val="2"/>
                <c:pt idx="0">
                  <c:v>BRAND</c:v>
                </c:pt>
                <c:pt idx="1">
                  <c:v>GENERIC</c:v>
                </c:pt>
              </c:strCache>
            </c:strRef>
          </c:cat>
          <c:val>
            <c:numRef>
              <c:f>'Pharmacy Sales Data'!$K$19:$K$21</c:f>
              <c:numCache>
                <c:formatCode>General</c:formatCode>
                <c:ptCount val="2"/>
                <c:pt idx="1">
                  <c:v>248.08</c:v>
                </c:pt>
              </c:numCache>
            </c:numRef>
          </c:val>
          <c:extLst>
            <c:ext xmlns:c16="http://schemas.microsoft.com/office/drawing/2014/chart" uri="{C3380CC4-5D6E-409C-BE32-E72D297353CC}">
              <c16:uniqueId val="{00000003-3370-424B-A610-CAAB22C12756}"/>
            </c:ext>
          </c:extLst>
        </c:ser>
        <c:ser>
          <c:idx val="2"/>
          <c:order val="2"/>
          <c:tx>
            <c:strRef>
              <c:f>'Pharmacy Sales Data'!$L$17:$L$18</c:f>
              <c:strCache>
                <c:ptCount val="1"/>
                <c:pt idx="0">
                  <c:v>PAIN RELIEF</c:v>
                </c:pt>
              </c:strCache>
            </c:strRef>
          </c:tx>
          <c:spPr>
            <a:solidFill>
              <a:schemeClr val="accent2">
                <a:tint val="65000"/>
              </a:schemeClr>
            </a:solidFill>
            <a:ln>
              <a:noFill/>
            </a:ln>
            <a:effectLst/>
          </c:spPr>
          <c:invertIfNegative val="0"/>
          <c:cat>
            <c:strRef>
              <c:f>'Pharmacy Sales Data'!$I$19:$I$21</c:f>
              <c:strCache>
                <c:ptCount val="2"/>
                <c:pt idx="0">
                  <c:v>BRAND</c:v>
                </c:pt>
                <c:pt idx="1">
                  <c:v>GENERIC</c:v>
                </c:pt>
              </c:strCache>
            </c:strRef>
          </c:cat>
          <c:val>
            <c:numRef>
              <c:f>'Pharmacy Sales Data'!$L$19:$L$21</c:f>
              <c:numCache>
                <c:formatCode>General</c:formatCode>
                <c:ptCount val="2"/>
                <c:pt idx="0">
                  <c:v>376.67</c:v>
                </c:pt>
                <c:pt idx="1">
                  <c:v>433.76000000000005</c:v>
                </c:pt>
              </c:numCache>
            </c:numRef>
          </c:val>
          <c:extLst>
            <c:ext xmlns:c16="http://schemas.microsoft.com/office/drawing/2014/chart" uri="{C3380CC4-5D6E-409C-BE32-E72D297353CC}">
              <c16:uniqueId val="{00000004-3370-424B-A610-CAAB22C12756}"/>
            </c:ext>
          </c:extLst>
        </c:ser>
        <c:dLbls>
          <c:showLegendKey val="0"/>
          <c:showVal val="0"/>
          <c:showCatName val="0"/>
          <c:showSerName val="0"/>
          <c:showPercent val="0"/>
          <c:showBubbleSize val="0"/>
        </c:dLbls>
        <c:gapWidth val="182"/>
        <c:axId val="1949262623"/>
        <c:axId val="1666292831"/>
      </c:barChart>
      <c:catAx>
        <c:axId val="194926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292831"/>
        <c:crosses val="autoZero"/>
        <c:auto val="1"/>
        <c:lblAlgn val="ctr"/>
        <c:lblOffset val="100"/>
        <c:noMultiLvlLbl val="0"/>
      </c:catAx>
      <c:valAx>
        <c:axId val="166629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62623"/>
        <c:crosses val="autoZero"/>
        <c:crossBetween val="between"/>
      </c:valAx>
      <c:spPr>
        <a:noFill/>
        <a:ln>
          <a:noFill/>
        </a:ln>
        <a:effectLst/>
      </c:spPr>
    </c:plotArea>
    <c:legend>
      <c:legendPos val="r"/>
      <c:layout>
        <c:manualLayout>
          <c:xMode val="edge"/>
          <c:yMode val="edge"/>
          <c:x val="0.76224496937882769"/>
          <c:y val="0.46666593759113445"/>
          <c:w val="0.22108836395450568"/>
          <c:h val="0.352568897637795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201E98D1-EECB-4931-BBE3-D334DD2D0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304800</xdr:colOff>
      <xdr:row>33</xdr:row>
      <xdr:rowOff>0</xdr:rowOff>
    </xdr:to>
    <xdr:graphicFrame macro="">
      <xdr:nvGraphicFramePr>
        <xdr:cNvPr id="3" name="Chart 2">
          <a:extLst>
            <a:ext uri="{FF2B5EF4-FFF2-40B4-BE49-F238E27FC236}">
              <a16:creationId xmlns:a16="http://schemas.microsoft.com/office/drawing/2014/main" id="{D1806CAE-571D-4897-BD05-DFE0A0767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15240</xdr:colOff>
      <xdr:row>2</xdr:row>
      <xdr:rowOff>7620</xdr:rowOff>
    </xdr:from>
    <xdr:to>
      <xdr:col>15</xdr:col>
      <xdr:colOff>15240</xdr:colOff>
      <xdr:row>15</xdr:row>
      <xdr:rowOff>97155</xdr:rowOff>
    </xdr:to>
    <mc:AlternateContent xmlns:mc="http://schemas.openxmlformats.org/markup-compatibility/2006" xmlns:a14="http://schemas.microsoft.com/office/drawing/2010/main">
      <mc:Choice Requires="a14">
        <xdr:graphicFrame macro="">
          <xdr:nvGraphicFramePr>
            <xdr:cNvPr id="5" name="DRUG NAME">
              <a:extLst>
                <a:ext uri="{FF2B5EF4-FFF2-40B4-BE49-F238E27FC236}">
                  <a16:creationId xmlns:a16="http://schemas.microsoft.com/office/drawing/2014/main" id="{164A3E78-0D0F-1A6D-4E0D-D3AF4D8D64F5}"/>
                </a:ext>
              </a:extLst>
            </xdr:cNvPr>
            <xdr:cNvGraphicFramePr/>
          </xdr:nvGraphicFramePr>
          <xdr:xfrm>
            <a:off x="0" y="0"/>
            <a:ext cx="0" cy="0"/>
          </xdr:xfrm>
          <a:graphic>
            <a:graphicData uri="http://schemas.microsoft.com/office/drawing/2010/slicer">
              <sle:slicer xmlns:sle="http://schemas.microsoft.com/office/drawing/2010/slicer" name="DRUG NAME"/>
            </a:graphicData>
          </a:graphic>
        </xdr:graphicFrame>
      </mc:Choice>
      <mc:Fallback xmlns="">
        <xdr:sp macro="" textlink="">
          <xdr:nvSpPr>
            <xdr:cNvPr id="0" name=""/>
            <xdr:cNvSpPr>
              <a:spLocks noTextEdit="1"/>
            </xdr:cNvSpPr>
          </xdr:nvSpPr>
          <xdr:spPr>
            <a:xfrm>
              <a:off x="7359240" y="367620"/>
              <a:ext cx="1836000" cy="242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563880</xdr:colOff>
      <xdr:row>1</xdr:row>
      <xdr:rowOff>175260</xdr:rowOff>
    </xdr:from>
    <xdr:to>
      <xdr:col>11</xdr:col>
      <xdr:colOff>563880</xdr:colOff>
      <xdr:row>15</xdr:row>
      <xdr:rowOff>81915</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59C9C8A1-2EB7-4B80-BA78-38E084947F2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459880" y="355260"/>
              <a:ext cx="1836000" cy="242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18</xdr:row>
      <xdr:rowOff>0</xdr:rowOff>
    </xdr:from>
    <xdr:to>
      <xdr:col>12</xdr:col>
      <xdr:colOff>0</xdr:colOff>
      <xdr:row>31</xdr:row>
      <xdr:rowOff>89535</xdr:rowOff>
    </xdr:to>
    <mc:AlternateContent xmlns:mc="http://schemas.openxmlformats.org/markup-compatibility/2006" xmlns:a14="http://schemas.microsoft.com/office/drawing/2010/main">
      <mc:Choice Requires="a14">
        <xdr:graphicFrame macro="">
          <xdr:nvGraphicFramePr>
            <xdr:cNvPr id="8" name="GENERIC/BRAND">
              <a:extLst>
                <a:ext uri="{FF2B5EF4-FFF2-40B4-BE49-F238E27FC236}">
                  <a16:creationId xmlns:a16="http://schemas.microsoft.com/office/drawing/2014/main" id="{8C929AC9-2401-0EF4-479F-C1731E1063E6}"/>
                </a:ext>
              </a:extLst>
            </xdr:cNvPr>
            <xdr:cNvGraphicFramePr/>
          </xdr:nvGraphicFramePr>
          <xdr:xfrm>
            <a:off x="0" y="0"/>
            <a:ext cx="0" cy="0"/>
          </xdr:xfrm>
          <a:graphic>
            <a:graphicData uri="http://schemas.microsoft.com/office/drawing/2010/slicer">
              <sle:slicer xmlns:sle="http://schemas.microsoft.com/office/drawing/2010/slicer" name="GENERIC/BRAND"/>
            </a:graphicData>
          </a:graphic>
        </xdr:graphicFrame>
      </mc:Choice>
      <mc:Fallback xmlns="">
        <xdr:sp macro="" textlink="">
          <xdr:nvSpPr>
            <xdr:cNvPr id="0" name=""/>
            <xdr:cNvSpPr>
              <a:spLocks noTextEdit="1"/>
            </xdr:cNvSpPr>
          </xdr:nvSpPr>
          <xdr:spPr>
            <a:xfrm>
              <a:off x="5508000" y="3240000"/>
              <a:ext cx="1836000" cy="242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91440</xdr:colOff>
      <xdr:row>18</xdr:row>
      <xdr:rowOff>0</xdr:rowOff>
    </xdr:from>
    <xdr:to>
      <xdr:col>15</xdr:col>
      <xdr:colOff>91440</xdr:colOff>
      <xdr:row>31</xdr:row>
      <xdr:rowOff>89535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57D7B15-9616-E271-0029-6644D56BD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35440" y="3240000"/>
              <a:ext cx="1836000" cy="242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BABU C" refreshedDate="46270.814515046295" createdVersion="8" refreshedVersion="8" minRefreshableVersion="3" recordCount="48" xr:uid="{63A9EC86-CDB7-473F-9B36-138F80F16BB3}">
  <cacheSource type="worksheet">
    <worksheetSource ref="A2:G50" sheet="Pharmacy Sales Data"/>
  </cacheSource>
  <cacheFields count="9">
    <cacheField name="DATE" numFmtId="0">
      <sharedItems containsSemiMixedTypes="0" containsNonDate="0" containsDate="1" containsString="0" minDate="2026-01-31T00:00:00" maxDate="2026-07-01T00:00:00" count="6">
        <d v="2026-01-31T00:00:00"/>
        <d v="2026-02-28T00:00:00"/>
        <d v="2026-03-31T00:00:00"/>
        <d v="2026-04-30T00:00:00"/>
        <d v="2026-05-31T00:00:00"/>
        <d v="2026-06-30T00:00:00"/>
      </sharedItems>
      <fieldGroup par="8"/>
    </cacheField>
    <cacheField name="DRUG NAME" numFmtId="0">
      <sharedItems count="8">
        <s v="PARACETAMOL"/>
        <s v="CALPOL"/>
        <s v="ADVIL"/>
        <s v="IBUPROFEN"/>
        <s v="AMOXICILLIN"/>
        <s v="CETRIZINE "/>
        <s v="AZITHROMYCIN"/>
        <s v="OFLOXACIN"/>
      </sharedItems>
    </cacheField>
    <cacheField name="GENERIC/BRAND" numFmtId="0">
      <sharedItems/>
    </cacheField>
    <cacheField name="CATEGORY" numFmtId="0">
      <sharedItems/>
    </cacheField>
    <cacheField name="QUANTITY" numFmtId="0">
      <sharedItems containsSemiMixedTypes="0" containsString="0" containsNumber="1" containsInteger="1" minValue="40" maxValue="190"/>
    </cacheField>
    <cacheField name="PRICE[USD]" numFmtId="0">
      <sharedItems containsSemiMixedTypes="0" containsString="0" containsNumber="1" minValue="0.22" maxValue="1.5"/>
    </cacheField>
    <cacheField name="SALES[USD]" numFmtId="0">
      <sharedItems containsSemiMixedTypes="0" containsString="0" containsNumber="1" minValue="25.3" maxValue="105" count="39">
        <n v="28.6"/>
        <n v="34.799999999999997"/>
        <n v="42"/>
        <n v="42.5"/>
        <n v="45"/>
        <n v="42.000000000000007"/>
        <n v="90"/>
        <n v="52.199999999999996"/>
        <n v="37.4"/>
        <n v="28.999999999999996"/>
        <n v="31.499999999999996"/>
        <n v="37.5"/>
        <n v="50"/>
        <n v="50.400000000000006"/>
        <n v="97.5"/>
        <n v="52.779999999999994"/>
        <n v="30.8"/>
        <n v="29.749999999999996"/>
        <n v="43"/>
        <n v="49.5"/>
        <n v="42.56"/>
        <n v="28.16"/>
        <n v="28"/>
        <n v="40"/>
        <n v="33.5"/>
        <n v="28.000000000000004"/>
        <n v="60"/>
        <n v="49.3"/>
        <n v="25.3"/>
        <n v="47.5"/>
        <n v="35"/>
        <n v="44.52"/>
        <n v="54.809999999999995"/>
        <n v="33"/>
        <n v="28.419999999999998"/>
        <n v="26.599999999999998"/>
        <n v="40.6"/>
        <n v="105"/>
        <n v="50.459999999999994"/>
      </sharedItems>
    </cacheField>
    <cacheField name="Days (DATE)" numFmtId="0" databaseField="0">
      <fieldGroup base="0">
        <rangePr groupBy="days" startDate="2026-01-31T00:00:00" endDate="2026-07-01T00:00:00"/>
        <groupItems count="368">
          <s v="&lt;3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31T00:00:00" endDate="2026-07-01T00:00:00"/>
        <groupItems count="14">
          <s v="&lt;3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7651089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BABU C" refreshedDate="46270.817336805558" createdVersion="8" refreshedVersion="8" minRefreshableVersion="3" recordCount="48" xr:uid="{960C1908-1605-41D4-B4DA-0B7BE2C3025C}">
  <cacheSource type="worksheet">
    <worksheetSource ref="B2:G50" sheet="Pharmacy Sales Data"/>
  </cacheSource>
  <cacheFields count="6">
    <cacheField name="DRUG NAME" numFmtId="0">
      <sharedItems/>
    </cacheField>
    <cacheField name="GENERIC/BRAND" numFmtId="0">
      <sharedItems count="2">
        <s v="GENERIC"/>
        <s v="BRAND"/>
      </sharedItems>
    </cacheField>
    <cacheField name="CATEGORY" numFmtId="0">
      <sharedItems count="3">
        <s v="PAIN RELIEF"/>
        <s v="ANTIBIOTIC"/>
        <s v="ANTI-HISTAMINE"/>
      </sharedItems>
    </cacheField>
    <cacheField name="QUANTITY" numFmtId="0">
      <sharedItems containsSemiMixedTypes="0" containsString="0" containsNumber="1" containsInteger="1" minValue="40" maxValue="190"/>
    </cacheField>
    <cacheField name="PRICE[USD]" numFmtId="0">
      <sharedItems containsSemiMixedTypes="0" containsString="0" containsNumber="1" minValue="0.22" maxValue="1.5"/>
    </cacheField>
    <cacheField name="SALES[USD]" numFmtId="0">
      <sharedItems containsSemiMixedTypes="0" containsString="0" containsNumber="1" minValue="25.3" maxValue="105"/>
    </cacheField>
  </cacheFields>
  <extLst>
    <ext xmlns:x14="http://schemas.microsoft.com/office/spreadsheetml/2009/9/main" uri="{725AE2AE-9491-48be-B2B4-4EB974FC3084}">
      <x14:pivotCacheDefinition pivotCacheId="1081642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s v="GENERIC"/>
    <s v="PAIN RELIEF"/>
    <n v="130"/>
    <n v="0.22"/>
    <x v="0"/>
  </r>
  <r>
    <x v="0"/>
    <x v="1"/>
    <s v="BRAND"/>
    <s v="PAIN RELIEF"/>
    <n v="120"/>
    <n v="0.28999999999999998"/>
    <x v="1"/>
  </r>
  <r>
    <x v="0"/>
    <x v="2"/>
    <s v="BRAND"/>
    <s v="PAIN RELIEF"/>
    <n v="120"/>
    <n v="0.35"/>
    <x v="2"/>
  </r>
  <r>
    <x v="0"/>
    <x v="3"/>
    <s v="GENERIC"/>
    <s v="PAIN RELIEF"/>
    <n v="170"/>
    <n v="0.25"/>
    <x v="3"/>
  </r>
  <r>
    <x v="0"/>
    <x v="4"/>
    <s v="GENERIC"/>
    <s v="ANTIBIOTIC"/>
    <n v="90"/>
    <n v="0.5"/>
    <x v="4"/>
  </r>
  <r>
    <x v="0"/>
    <x v="5"/>
    <s v="GENERIC"/>
    <s v="ANTI-HISTAMINE"/>
    <n v="150"/>
    <n v="0.28000000000000003"/>
    <x v="5"/>
  </r>
  <r>
    <x v="0"/>
    <x v="6"/>
    <s v="GENERIC"/>
    <s v="ANTIBIOTIC"/>
    <n v="60"/>
    <n v="1.5"/>
    <x v="6"/>
  </r>
  <r>
    <x v="0"/>
    <x v="7"/>
    <s v="GENERIC"/>
    <s v="ANTIBIOTIC"/>
    <n v="180"/>
    <n v="0.28999999999999998"/>
    <x v="7"/>
  </r>
  <r>
    <x v="1"/>
    <x v="0"/>
    <s v="GENERIC"/>
    <s v="PAIN RELIEF"/>
    <n v="170"/>
    <n v="0.22"/>
    <x v="8"/>
  </r>
  <r>
    <x v="1"/>
    <x v="1"/>
    <s v="BRAND"/>
    <s v="PAIN RELIEF"/>
    <n v="100"/>
    <n v="0.28999999999999998"/>
    <x v="9"/>
  </r>
  <r>
    <x v="1"/>
    <x v="2"/>
    <s v="BRAND"/>
    <s v="PAIN RELIEF"/>
    <n v="90"/>
    <n v="0.35"/>
    <x v="10"/>
  </r>
  <r>
    <x v="1"/>
    <x v="3"/>
    <s v="GENERIC"/>
    <s v="PAIN RELIEF"/>
    <n v="150"/>
    <n v="0.25"/>
    <x v="11"/>
  </r>
  <r>
    <x v="1"/>
    <x v="4"/>
    <s v="GENERIC"/>
    <s v="ANTIBIOTIC"/>
    <n v="100"/>
    <n v="0.5"/>
    <x v="12"/>
  </r>
  <r>
    <x v="1"/>
    <x v="5"/>
    <s v="GENERIC"/>
    <s v="ANTI-HISTAMINE"/>
    <n v="180"/>
    <n v="0.28000000000000003"/>
    <x v="13"/>
  </r>
  <r>
    <x v="1"/>
    <x v="6"/>
    <s v="GENERIC"/>
    <s v="ANTIBIOTIC"/>
    <n v="65"/>
    <n v="1.5"/>
    <x v="14"/>
  </r>
  <r>
    <x v="1"/>
    <x v="7"/>
    <s v="GENERIC"/>
    <s v="ANTIBIOTIC"/>
    <n v="182"/>
    <n v="0.28999999999999998"/>
    <x v="15"/>
  </r>
  <r>
    <x v="2"/>
    <x v="0"/>
    <s v="GENERIC"/>
    <s v="PAIN RELIEF"/>
    <n v="140"/>
    <n v="0.22"/>
    <x v="16"/>
  </r>
  <r>
    <x v="2"/>
    <x v="1"/>
    <s v="BRAND"/>
    <s v="PAIN RELIEF"/>
    <n v="100"/>
    <n v="0.28999999999999998"/>
    <x v="9"/>
  </r>
  <r>
    <x v="2"/>
    <x v="2"/>
    <s v="BRAND"/>
    <s v="PAIN RELIEF"/>
    <n v="85"/>
    <n v="0.35"/>
    <x v="17"/>
  </r>
  <r>
    <x v="2"/>
    <x v="3"/>
    <s v="GENERIC"/>
    <s v="PAIN RELIEF"/>
    <n v="172"/>
    <n v="0.25"/>
    <x v="18"/>
  </r>
  <r>
    <x v="2"/>
    <x v="4"/>
    <s v="GENERIC"/>
    <s v="ANTIBIOTIC"/>
    <n v="99"/>
    <n v="0.5"/>
    <x v="19"/>
  </r>
  <r>
    <x v="2"/>
    <x v="5"/>
    <s v="GENERIC"/>
    <s v="ANTI-HISTAMINE"/>
    <n v="152"/>
    <n v="0.28000000000000003"/>
    <x v="20"/>
  </r>
  <r>
    <x v="2"/>
    <x v="6"/>
    <s v="GENERIC"/>
    <s v="ANTIBIOTIC"/>
    <n v="65"/>
    <n v="1.5"/>
    <x v="14"/>
  </r>
  <r>
    <x v="2"/>
    <x v="7"/>
    <s v="GENERIC"/>
    <s v="ANTIBIOTIC"/>
    <n v="182"/>
    <n v="0.28999999999999998"/>
    <x v="15"/>
  </r>
  <r>
    <x v="3"/>
    <x v="0"/>
    <s v="GENERIC"/>
    <s v="PAIN RELIEF"/>
    <n v="128"/>
    <n v="0.22"/>
    <x v="21"/>
  </r>
  <r>
    <x v="3"/>
    <x v="1"/>
    <s v="BRAND"/>
    <s v="PAIN RELIEF"/>
    <n v="120"/>
    <n v="0.28999999999999998"/>
    <x v="1"/>
  </r>
  <r>
    <x v="3"/>
    <x v="2"/>
    <s v="BRAND"/>
    <s v="PAIN RELIEF"/>
    <n v="80"/>
    <n v="0.35"/>
    <x v="22"/>
  </r>
  <r>
    <x v="3"/>
    <x v="3"/>
    <s v="GENERIC"/>
    <s v="PAIN RELIEF"/>
    <n v="160"/>
    <n v="0.25"/>
    <x v="23"/>
  </r>
  <r>
    <x v="3"/>
    <x v="4"/>
    <s v="GENERIC"/>
    <s v="ANTIBIOTIC"/>
    <n v="67"/>
    <n v="0.5"/>
    <x v="24"/>
  </r>
  <r>
    <x v="3"/>
    <x v="5"/>
    <s v="GENERIC"/>
    <s v="ANTI-HISTAMINE"/>
    <n v="100"/>
    <n v="0.28000000000000003"/>
    <x v="25"/>
  </r>
  <r>
    <x v="3"/>
    <x v="6"/>
    <s v="GENERIC"/>
    <s v="ANTIBIOTIC"/>
    <n v="40"/>
    <n v="1.5"/>
    <x v="26"/>
  </r>
  <r>
    <x v="3"/>
    <x v="7"/>
    <s v="GENERIC"/>
    <s v="ANTIBIOTIC"/>
    <n v="170"/>
    <n v="0.28999999999999998"/>
    <x v="27"/>
  </r>
  <r>
    <x v="4"/>
    <x v="0"/>
    <s v="GENERIC"/>
    <s v="PAIN RELIEF"/>
    <n v="115"/>
    <n v="0.22"/>
    <x v="28"/>
  </r>
  <r>
    <x v="4"/>
    <x v="1"/>
    <s v="BRAND"/>
    <s v="PAIN RELIEF"/>
    <n v="120"/>
    <n v="0.28999999999999998"/>
    <x v="1"/>
  </r>
  <r>
    <x v="4"/>
    <x v="2"/>
    <s v="BRAND"/>
    <s v="PAIN RELIEF"/>
    <n v="80"/>
    <n v="0.35"/>
    <x v="22"/>
  </r>
  <r>
    <x v="4"/>
    <x v="3"/>
    <s v="GENERIC"/>
    <s v="PAIN RELIEF"/>
    <n v="190"/>
    <n v="0.25"/>
    <x v="29"/>
  </r>
  <r>
    <x v="4"/>
    <x v="4"/>
    <s v="GENERIC"/>
    <s v="ANTIBIOTIC"/>
    <n v="70"/>
    <n v="0.5"/>
    <x v="30"/>
  </r>
  <r>
    <x v="4"/>
    <x v="5"/>
    <s v="GENERIC"/>
    <s v="ANTI-HISTAMINE"/>
    <n v="159"/>
    <n v="0.28000000000000003"/>
    <x v="31"/>
  </r>
  <r>
    <x v="4"/>
    <x v="6"/>
    <s v="GENERIC"/>
    <s v="ANTIBIOTIC"/>
    <n v="60"/>
    <n v="1.5"/>
    <x v="6"/>
  </r>
  <r>
    <x v="4"/>
    <x v="7"/>
    <s v="GENERIC"/>
    <s v="ANTIBIOTIC"/>
    <n v="189"/>
    <n v="0.28999999999999998"/>
    <x v="32"/>
  </r>
  <r>
    <x v="5"/>
    <x v="0"/>
    <s v="GENERIC"/>
    <s v="PAIN RELIEF"/>
    <n v="150"/>
    <n v="0.22"/>
    <x v="33"/>
  </r>
  <r>
    <x v="5"/>
    <x v="1"/>
    <s v="BRAND"/>
    <s v="PAIN RELIEF"/>
    <n v="98"/>
    <n v="0.28999999999999998"/>
    <x v="34"/>
  </r>
  <r>
    <x v="5"/>
    <x v="2"/>
    <s v="BRAND"/>
    <s v="PAIN RELIEF"/>
    <n v="76"/>
    <n v="0.35"/>
    <x v="35"/>
  </r>
  <r>
    <x v="5"/>
    <x v="3"/>
    <s v="GENERIC"/>
    <s v="PAIN RELIEF"/>
    <n v="160"/>
    <n v="0.25"/>
    <x v="23"/>
  </r>
  <r>
    <x v="5"/>
    <x v="4"/>
    <s v="GENERIC"/>
    <s v="ANTIBIOTIC"/>
    <n v="80"/>
    <n v="0.5"/>
    <x v="23"/>
  </r>
  <r>
    <x v="5"/>
    <x v="5"/>
    <s v="GENERIC"/>
    <s v="ANTI-HISTAMINE"/>
    <n v="145"/>
    <n v="0.28000000000000003"/>
    <x v="36"/>
  </r>
  <r>
    <x v="5"/>
    <x v="6"/>
    <s v="GENERIC"/>
    <s v="ANTIBIOTIC"/>
    <n v="70"/>
    <n v="1.5"/>
    <x v="37"/>
  </r>
  <r>
    <x v="5"/>
    <x v="7"/>
    <s v="GENERIC"/>
    <s v="ANTIBIOTIC"/>
    <n v="174"/>
    <n v="0.28999999999999998"/>
    <x v="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PARACETAMOL"/>
    <x v="0"/>
    <x v="0"/>
    <n v="130"/>
    <n v="0.22"/>
    <n v="28.6"/>
  </r>
  <r>
    <s v="CALPOL"/>
    <x v="1"/>
    <x v="0"/>
    <n v="120"/>
    <n v="0.28999999999999998"/>
    <n v="34.799999999999997"/>
  </r>
  <r>
    <s v="ADVIL"/>
    <x v="1"/>
    <x v="0"/>
    <n v="120"/>
    <n v="0.35"/>
    <n v="42"/>
  </r>
  <r>
    <s v="IBUPROFEN"/>
    <x v="0"/>
    <x v="0"/>
    <n v="170"/>
    <n v="0.25"/>
    <n v="42.5"/>
  </r>
  <r>
    <s v="AMOXICILLIN"/>
    <x v="0"/>
    <x v="1"/>
    <n v="90"/>
    <n v="0.5"/>
    <n v="45"/>
  </r>
  <r>
    <s v="CETRIZINE "/>
    <x v="0"/>
    <x v="2"/>
    <n v="150"/>
    <n v="0.28000000000000003"/>
    <n v="42.000000000000007"/>
  </r>
  <r>
    <s v="AZITHROMYCIN"/>
    <x v="0"/>
    <x v="1"/>
    <n v="60"/>
    <n v="1.5"/>
    <n v="90"/>
  </r>
  <r>
    <s v="OFLOXACIN"/>
    <x v="0"/>
    <x v="1"/>
    <n v="180"/>
    <n v="0.28999999999999998"/>
    <n v="52.199999999999996"/>
  </r>
  <r>
    <s v="PARACETAMOL"/>
    <x v="0"/>
    <x v="0"/>
    <n v="170"/>
    <n v="0.22"/>
    <n v="37.4"/>
  </r>
  <r>
    <s v="CALPOL"/>
    <x v="1"/>
    <x v="0"/>
    <n v="100"/>
    <n v="0.28999999999999998"/>
    <n v="28.999999999999996"/>
  </r>
  <r>
    <s v="ADVIL"/>
    <x v="1"/>
    <x v="0"/>
    <n v="90"/>
    <n v="0.35"/>
    <n v="31.499999999999996"/>
  </r>
  <r>
    <s v="IBUPROFEN"/>
    <x v="0"/>
    <x v="0"/>
    <n v="150"/>
    <n v="0.25"/>
    <n v="37.5"/>
  </r>
  <r>
    <s v="AMOXICILLIN"/>
    <x v="0"/>
    <x v="1"/>
    <n v="100"/>
    <n v="0.5"/>
    <n v="50"/>
  </r>
  <r>
    <s v="CETRIZINE "/>
    <x v="0"/>
    <x v="2"/>
    <n v="180"/>
    <n v="0.28000000000000003"/>
    <n v="50.400000000000006"/>
  </r>
  <r>
    <s v="AZITHROMYCIN"/>
    <x v="0"/>
    <x v="1"/>
    <n v="65"/>
    <n v="1.5"/>
    <n v="97.5"/>
  </r>
  <r>
    <s v="OFLOXACIN"/>
    <x v="0"/>
    <x v="1"/>
    <n v="182"/>
    <n v="0.28999999999999998"/>
    <n v="52.779999999999994"/>
  </r>
  <r>
    <s v="PARACETAMOL"/>
    <x v="0"/>
    <x v="0"/>
    <n v="140"/>
    <n v="0.22"/>
    <n v="30.8"/>
  </r>
  <r>
    <s v="CALPOL"/>
    <x v="1"/>
    <x v="0"/>
    <n v="100"/>
    <n v="0.28999999999999998"/>
    <n v="28.999999999999996"/>
  </r>
  <r>
    <s v="ADVIL"/>
    <x v="1"/>
    <x v="0"/>
    <n v="85"/>
    <n v="0.35"/>
    <n v="29.749999999999996"/>
  </r>
  <r>
    <s v="IBUPROFEN"/>
    <x v="0"/>
    <x v="0"/>
    <n v="172"/>
    <n v="0.25"/>
    <n v="43"/>
  </r>
  <r>
    <s v="AMOXICILLIN"/>
    <x v="0"/>
    <x v="1"/>
    <n v="99"/>
    <n v="0.5"/>
    <n v="49.5"/>
  </r>
  <r>
    <s v="CETRIZINE "/>
    <x v="0"/>
    <x v="2"/>
    <n v="152"/>
    <n v="0.28000000000000003"/>
    <n v="42.56"/>
  </r>
  <r>
    <s v="AZITHROMYCIN"/>
    <x v="0"/>
    <x v="1"/>
    <n v="65"/>
    <n v="1.5"/>
    <n v="97.5"/>
  </r>
  <r>
    <s v="OFLOXACIN"/>
    <x v="0"/>
    <x v="1"/>
    <n v="182"/>
    <n v="0.28999999999999998"/>
    <n v="52.779999999999994"/>
  </r>
  <r>
    <s v="PARACETAMOL"/>
    <x v="0"/>
    <x v="0"/>
    <n v="128"/>
    <n v="0.22"/>
    <n v="28.16"/>
  </r>
  <r>
    <s v="CALPOL"/>
    <x v="1"/>
    <x v="0"/>
    <n v="120"/>
    <n v="0.28999999999999998"/>
    <n v="34.799999999999997"/>
  </r>
  <r>
    <s v="ADVIL"/>
    <x v="1"/>
    <x v="0"/>
    <n v="80"/>
    <n v="0.35"/>
    <n v="28"/>
  </r>
  <r>
    <s v="IBUPROFEN"/>
    <x v="0"/>
    <x v="0"/>
    <n v="160"/>
    <n v="0.25"/>
    <n v="40"/>
  </r>
  <r>
    <s v="AMOXICILLIN"/>
    <x v="0"/>
    <x v="1"/>
    <n v="67"/>
    <n v="0.5"/>
    <n v="33.5"/>
  </r>
  <r>
    <s v="CETRIZINE "/>
    <x v="0"/>
    <x v="2"/>
    <n v="100"/>
    <n v="0.28000000000000003"/>
    <n v="28.000000000000004"/>
  </r>
  <r>
    <s v="AZITHROMYCIN"/>
    <x v="0"/>
    <x v="1"/>
    <n v="40"/>
    <n v="1.5"/>
    <n v="60"/>
  </r>
  <r>
    <s v="OFLOXACIN"/>
    <x v="0"/>
    <x v="1"/>
    <n v="170"/>
    <n v="0.28999999999999998"/>
    <n v="49.3"/>
  </r>
  <r>
    <s v="PARACETAMOL"/>
    <x v="0"/>
    <x v="0"/>
    <n v="115"/>
    <n v="0.22"/>
    <n v="25.3"/>
  </r>
  <r>
    <s v="CALPOL"/>
    <x v="1"/>
    <x v="0"/>
    <n v="120"/>
    <n v="0.28999999999999998"/>
    <n v="34.799999999999997"/>
  </r>
  <r>
    <s v="ADVIL"/>
    <x v="1"/>
    <x v="0"/>
    <n v="80"/>
    <n v="0.35"/>
    <n v="28"/>
  </r>
  <r>
    <s v="IBUPROFEN"/>
    <x v="0"/>
    <x v="0"/>
    <n v="190"/>
    <n v="0.25"/>
    <n v="47.5"/>
  </r>
  <r>
    <s v="AMOXICILLIN"/>
    <x v="0"/>
    <x v="1"/>
    <n v="70"/>
    <n v="0.5"/>
    <n v="35"/>
  </r>
  <r>
    <s v="CETRIZINE "/>
    <x v="0"/>
    <x v="2"/>
    <n v="159"/>
    <n v="0.28000000000000003"/>
    <n v="44.52"/>
  </r>
  <r>
    <s v="AZITHROMYCIN"/>
    <x v="0"/>
    <x v="1"/>
    <n v="60"/>
    <n v="1.5"/>
    <n v="90"/>
  </r>
  <r>
    <s v="OFLOXACIN"/>
    <x v="0"/>
    <x v="1"/>
    <n v="189"/>
    <n v="0.28999999999999998"/>
    <n v="54.809999999999995"/>
  </r>
  <r>
    <s v="PARACETAMOL"/>
    <x v="0"/>
    <x v="0"/>
    <n v="150"/>
    <n v="0.22"/>
    <n v="33"/>
  </r>
  <r>
    <s v="CALPOL"/>
    <x v="1"/>
    <x v="0"/>
    <n v="98"/>
    <n v="0.28999999999999998"/>
    <n v="28.419999999999998"/>
  </r>
  <r>
    <s v="ADVIL"/>
    <x v="1"/>
    <x v="0"/>
    <n v="76"/>
    <n v="0.35"/>
    <n v="26.599999999999998"/>
  </r>
  <r>
    <s v="IBUPROFEN"/>
    <x v="0"/>
    <x v="0"/>
    <n v="160"/>
    <n v="0.25"/>
    <n v="40"/>
  </r>
  <r>
    <s v="AMOXICILLIN"/>
    <x v="0"/>
    <x v="1"/>
    <n v="80"/>
    <n v="0.5"/>
    <n v="40"/>
  </r>
  <r>
    <s v="CETRIZINE "/>
    <x v="0"/>
    <x v="2"/>
    <n v="145"/>
    <n v="0.28000000000000003"/>
    <n v="40.6"/>
  </r>
  <r>
    <s v="AZITHROMYCIN"/>
    <x v="0"/>
    <x v="1"/>
    <n v="70"/>
    <n v="1.5"/>
    <n v="105"/>
  </r>
  <r>
    <s v="OFLOXACIN"/>
    <x v="0"/>
    <x v="1"/>
    <n v="174"/>
    <n v="0.28999999999999998"/>
    <n v="50.45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96B37-2D00-46F6-B387-1C0ECAF6E67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colHeaderCaption=" ">
  <location ref="I3:R11" firstHeaderRow="1" firstDataRow="2" firstDataCol="1"/>
  <pivotFields count="9">
    <pivotField axis="axisRow" showAll="0">
      <items count="7">
        <item x="0"/>
        <item x="1"/>
        <item x="2"/>
        <item x="3"/>
        <item x="4"/>
        <item x="5"/>
        <item t="default"/>
      </items>
    </pivotField>
    <pivotField axis="axisCol" showAll="0">
      <items count="9">
        <item x="2"/>
        <item x="4"/>
        <item x="6"/>
        <item x="1"/>
        <item x="5"/>
        <item x="3"/>
        <item x="7"/>
        <item x="0"/>
        <item t="default"/>
      </items>
    </pivotField>
    <pivotField showAll="0"/>
    <pivotField showAll="0"/>
    <pivotField showAll="0"/>
    <pivotField showAll="0"/>
    <pivotField dataField="1" showAll="0">
      <items count="40">
        <item x="28"/>
        <item x="35"/>
        <item x="22"/>
        <item x="25"/>
        <item x="21"/>
        <item x="34"/>
        <item x="0"/>
        <item x="9"/>
        <item x="17"/>
        <item x="16"/>
        <item x="10"/>
        <item x="33"/>
        <item x="24"/>
        <item x="1"/>
        <item x="30"/>
        <item x="8"/>
        <item x="11"/>
        <item x="23"/>
        <item x="36"/>
        <item x="2"/>
        <item x="5"/>
        <item x="3"/>
        <item x="20"/>
        <item x="18"/>
        <item x="31"/>
        <item x="4"/>
        <item x="29"/>
        <item x="27"/>
        <item x="19"/>
        <item x="12"/>
        <item x="13"/>
        <item x="38"/>
        <item x="7"/>
        <item x="15"/>
        <item x="32"/>
        <item x="26"/>
        <item x="6"/>
        <item x="14"/>
        <item x="37"/>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7">
    <i>
      <x v="1"/>
    </i>
    <i>
      <x v="2"/>
    </i>
    <i>
      <x v="3"/>
    </i>
    <i>
      <x v="4"/>
    </i>
    <i>
      <x v="5"/>
    </i>
    <i>
      <x v="6"/>
    </i>
    <i t="grand">
      <x/>
    </i>
  </rowItems>
  <colFields count="1">
    <field x="1"/>
  </colFields>
  <colItems count="9">
    <i>
      <x/>
    </i>
    <i>
      <x v="1"/>
    </i>
    <i>
      <x v="2"/>
    </i>
    <i>
      <x v="3"/>
    </i>
    <i>
      <x v="4"/>
    </i>
    <i>
      <x v="5"/>
    </i>
    <i>
      <x v="6"/>
    </i>
    <i>
      <x v="7"/>
    </i>
    <i t="grand">
      <x/>
    </i>
  </colItems>
  <dataFields count="1">
    <dataField name=" " fld="6" baseField="0" baseItem="0"/>
  </dataFields>
  <formats count="10">
    <format dxfId="49">
      <pivotArea type="all" dataOnly="0" outline="0" fieldPosition="0"/>
    </format>
    <format dxfId="41">
      <pivotArea outline="0" collapsedLevelsAreSubtotals="1" fieldPosition="0"/>
    </format>
    <format dxfId="40">
      <pivotArea type="origin" dataOnly="0" labelOnly="1" outline="0" fieldPosition="0"/>
    </format>
    <format dxfId="39">
      <pivotArea field="1" type="button" dataOnly="0" labelOnly="1" outline="0" axis="axisCol" fieldPosition="0"/>
    </format>
    <format dxfId="38">
      <pivotArea type="topRight" dataOnly="0" labelOnly="1" outline="0" fieldPosition="0"/>
    </format>
    <format dxfId="37">
      <pivotArea field="8" type="button" dataOnly="0" labelOnly="1" outline="0" axis="axisRow" fieldPosition="0"/>
    </format>
    <format dxfId="36">
      <pivotArea dataOnly="0" labelOnly="1" fieldPosition="0">
        <references count="1">
          <reference field="8" count="6">
            <x v="1"/>
            <x v="2"/>
            <x v="3"/>
            <x v="4"/>
            <x v="5"/>
            <x v="6"/>
          </reference>
        </references>
      </pivotArea>
    </format>
    <format dxfId="35">
      <pivotArea dataOnly="0" labelOnly="1" grandRow="1" outline="0" fieldPosition="0"/>
    </format>
    <format dxfId="34">
      <pivotArea dataOnly="0" labelOnly="1" fieldPosition="0">
        <references count="1">
          <reference field="1" count="0"/>
        </references>
      </pivotArea>
    </format>
    <format dxfId="33">
      <pivotArea dataOnly="0" labelOnly="1" grandCol="1" outline="0" fieldPosition="0"/>
    </format>
  </formats>
  <conditionalFormats count="8">
    <conditionalFormat type="all" priority="8">
      <pivotAreas count="6">
        <pivotArea type="data" grandCol="1" collapsedLevelsAreSubtotals="1" fieldPosition="0">
          <references count="2">
            <reference field="4294967294" count="1" selected="0">
              <x v="0"/>
            </reference>
            <reference field="8" count="1">
              <x v="1"/>
            </reference>
          </references>
        </pivotArea>
        <pivotArea type="data" grandCol="1" collapsedLevelsAreSubtotals="1" fieldPosition="0">
          <references count="2">
            <reference field="4294967294" count="1" selected="0">
              <x v="0"/>
            </reference>
            <reference field="8" count="1">
              <x v="2"/>
            </reference>
          </references>
        </pivotArea>
        <pivotArea type="data" grandCol="1" collapsedLevelsAreSubtotals="1" fieldPosition="0">
          <references count="2">
            <reference field="4294967294" count="1" selected="0">
              <x v="0"/>
            </reference>
            <reference field="8" count="1">
              <x v="3"/>
            </reference>
          </references>
        </pivotArea>
        <pivotArea type="data" grandCol="1" collapsedLevelsAreSubtotals="1" fieldPosition="0">
          <references count="2">
            <reference field="4294967294" count="1" selected="0">
              <x v="0"/>
            </reference>
            <reference field="8" count="1">
              <x v="4"/>
            </reference>
          </references>
        </pivotArea>
        <pivotArea type="data" grandCol="1" collapsedLevelsAreSubtotals="1" fieldPosition="0">
          <references count="2">
            <reference field="4294967294" count="1" selected="0">
              <x v="0"/>
            </reference>
            <reference field="8" count="1">
              <x v="5"/>
            </reference>
          </references>
        </pivotArea>
        <pivotArea type="data" grandCol="1" collapsedLevelsAreSubtotals="1" fieldPosition="0">
          <references count="2">
            <reference field="4294967294" count="1" selected="0">
              <x v="0"/>
            </reference>
            <reference field="8" count="1">
              <x v="6"/>
            </reference>
          </references>
        </pivotArea>
      </pivotAreas>
    </conditionalFormat>
    <conditionalFormat type="all" priority="7">
      <pivotAreas count="1">
        <pivotArea type="data" collapsedLevelsAreSubtotals="1" fieldPosition="0">
          <references count="3">
            <reference field="4294967294" count="1" selected="0">
              <x v="0"/>
            </reference>
            <reference field="1" count="8" selected="0">
              <x v="0"/>
              <x v="1"/>
              <x v="2"/>
              <x v="3"/>
              <x v="4"/>
              <x v="5"/>
              <x v="6"/>
              <x v="7"/>
            </reference>
            <reference field="8" count="1">
              <x v="2"/>
            </reference>
          </references>
        </pivotArea>
      </pivotAreas>
    </conditionalFormat>
    <conditionalFormat type="all" priority="6">
      <pivotAreas count="1">
        <pivotArea type="data" collapsedLevelsAreSubtotals="1" fieldPosition="0">
          <references count="3">
            <reference field="4294967294" count="1" selected="0">
              <x v="0"/>
            </reference>
            <reference field="1" count="8" selected="0">
              <x v="0"/>
              <x v="1"/>
              <x v="2"/>
              <x v="3"/>
              <x v="4"/>
              <x v="5"/>
              <x v="6"/>
              <x v="7"/>
            </reference>
            <reference field="8" count="1">
              <x v="1"/>
            </reference>
          </references>
        </pivotArea>
      </pivotAreas>
    </conditionalFormat>
    <conditionalFormat type="all" priority="5">
      <pivotAreas count="1">
        <pivotArea type="data" collapsedLevelsAreSubtotals="1" fieldPosition="0">
          <references count="3">
            <reference field="4294967294" count="1" selected="0">
              <x v="0"/>
            </reference>
            <reference field="1" count="8" selected="0">
              <x v="0"/>
              <x v="1"/>
              <x v="2"/>
              <x v="3"/>
              <x v="4"/>
              <x v="5"/>
              <x v="6"/>
              <x v="7"/>
            </reference>
            <reference field="8" count="1">
              <x v="3"/>
            </reference>
          </references>
        </pivotArea>
      </pivotAreas>
    </conditionalFormat>
    <conditionalFormat type="all" priority="4">
      <pivotAreas count="1">
        <pivotArea type="data" collapsedLevelsAreSubtotals="1" fieldPosition="0">
          <references count="3">
            <reference field="4294967294" count="1" selected="0">
              <x v="0"/>
            </reference>
            <reference field="1" count="8" selected="0">
              <x v="0"/>
              <x v="1"/>
              <x v="2"/>
              <x v="3"/>
              <x v="4"/>
              <x v="5"/>
              <x v="6"/>
              <x v="7"/>
            </reference>
            <reference field="8" count="1">
              <x v="4"/>
            </reference>
          </references>
        </pivotArea>
      </pivotAreas>
    </conditionalFormat>
    <conditionalFormat type="all" priority="3">
      <pivotAreas count="1">
        <pivotArea type="data" collapsedLevelsAreSubtotals="1" fieldPosition="0">
          <references count="3">
            <reference field="4294967294" count="1" selected="0">
              <x v="0"/>
            </reference>
            <reference field="1" count="8" selected="0">
              <x v="0"/>
              <x v="1"/>
              <x v="2"/>
              <x v="3"/>
              <x v="4"/>
              <x v="5"/>
              <x v="6"/>
              <x v="7"/>
            </reference>
            <reference field="8" count="1">
              <x v="5"/>
            </reference>
          </references>
        </pivotArea>
      </pivotAreas>
    </conditionalFormat>
    <conditionalFormat type="all" priority="2">
      <pivotAreas count="1">
        <pivotArea type="data" collapsedLevelsAreSubtotals="1" fieldPosition="0">
          <references count="3">
            <reference field="4294967294" count="1" selected="0">
              <x v="0"/>
            </reference>
            <reference field="1" count="8" selected="0">
              <x v="0"/>
              <x v="1"/>
              <x v="2"/>
              <x v="3"/>
              <x v="4"/>
              <x v="5"/>
              <x v="6"/>
              <x v="7"/>
            </reference>
            <reference field="8" count="1">
              <x v="6"/>
            </reference>
          </references>
        </pivotArea>
      </pivotAreas>
    </conditionalFormat>
    <conditionalFormat type="all" priority="1">
      <pivotAreas count="6">
        <pivotArea type="data" grandCol="1" collapsedLevelsAreSubtotals="1" fieldPosition="0">
          <references count="2">
            <reference field="4294967294" count="1" selected="0">
              <x v="0"/>
            </reference>
            <reference field="8" count="1">
              <x v="1"/>
            </reference>
          </references>
        </pivotArea>
        <pivotArea type="data" grandCol="1" collapsedLevelsAreSubtotals="1" fieldPosition="0">
          <references count="2">
            <reference field="4294967294" count="1" selected="0">
              <x v="0"/>
            </reference>
            <reference field="8" count="1">
              <x v="2"/>
            </reference>
          </references>
        </pivotArea>
        <pivotArea type="data" grandCol="1" collapsedLevelsAreSubtotals="1" fieldPosition="0">
          <references count="2">
            <reference field="4294967294" count="1" selected="0">
              <x v="0"/>
            </reference>
            <reference field="8" count="1">
              <x v="3"/>
            </reference>
          </references>
        </pivotArea>
        <pivotArea type="data" grandCol="1" collapsedLevelsAreSubtotals="1" fieldPosition="0">
          <references count="2">
            <reference field="4294967294" count="1" selected="0">
              <x v="0"/>
            </reference>
            <reference field="8" count="1">
              <x v="4"/>
            </reference>
          </references>
        </pivotArea>
        <pivotArea type="data" grandCol="1" collapsedLevelsAreSubtotals="1" fieldPosition="0">
          <references count="2">
            <reference field="4294967294" count="1" selected="0">
              <x v="0"/>
            </reference>
            <reference field="8" count="1">
              <x v="5"/>
            </reference>
          </references>
        </pivotArea>
        <pivotArea type="data" grandCol="1" collapsedLevelsAreSubtotals="1" fieldPosition="0">
          <references count="2">
            <reference field="4294967294" count="1" selected="0">
              <x v="0"/>
            </reference>
            <reference field="8" count="1">
              <x v="6"/>
            </reference>
          </references>
        </pivotArea>
      </pivotAreas>
    </conditionalFormat>
  </conditionalFormats>
  <chartFormats count="2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5" format="16" series="1">
      <pivotArea type="data" outline="0" fieldPosition="0">
        <references count="2">
          <reference field="4294967294" count="1" selected="0">
            <x v="0"/>
          </reference>
          <reference field="1" count="1" selected="0">
            <x v="0"/>
          </reference>
        </references>
      </pivotArea>
    </chartFormat>
    <chartFormat chart="5" format="17" series="1">
      <pivotArea type="data" outline="0" fieldPosition="0">
        <references count="2">
          <reference field="4294967294" count="1" selected="0">
            <x v="0"/>
          </reference>
          <reference field="1" count="1" selected="0">
            <x v="1"/>
          </reference>
        </references>
      </pivotArea>
    </chartFormat>
    <chartFormat chart="5" format="18" series="1">
      <pivotArea type="data" outline="0" fieldPosition="0">
        <references count="2">
          <reference field="4294967294" count="1" selected="0">
            <x v="0"/>
          </reference>
          <reference field="1" count="1" selected="0">
            <x v="2"/>
          </reference>
        </references>
      </pivotArea>
    </chartFormat>
    <chartFormat chart="5" format="19" series="1">
      <pivotArea type="data" outline="0" fieldPosition="0">
        <references count="2">
          <reference field="4294967294" count="1" selected="0">
            <x v="0"/>
          </reference>
          <reference field="1" count="1" selected="0">
            <x v="3"/>
          </reference>
        </references>
      </pivotArea>
    </chartFormat>
    <chartFormat chart="5" format="20" series="1">
      <pivotArea type="data" outline="0" fieldPosition="0">
        <references count="2">
          <reference field="4294967294" count="1" selected="0">
            <x v="0"/>
          </reference>
          <reference field="1" count="1" selected="0">
            <x v="4"/>
          </reference>
        </references>
      </pivotArea>
    </chartFormat>
    <chartFormat chart="5" format="21" series="1">
      <pivotArea type="data" outline="0" fieldPosition="0">
        <references count="2">
          <reference field="4294967294" count="1" selected="0">
            <x v="0"/>
          </reference>
          <reference field="1" count="1" selected="0">
            <x v="5"/>
          </reference>
        </references>
      </pivotArea>
    </chartFormat>
    <chartFormat chart="5" format="22" series="1">
      <pivotArea type="data" outline="0" fieldPosition="0">
        <references count="2">
          <reference field="4294967294" count="1" selected="0">
            <x v="0"/>
          </reference>
          <reference field="1" count="1" selected="0">
            <x v="6"/>
          </reference>
        </references>
      </pivotArea>
    </chartFormat>
    <chartFormat chart="5" format="23" series="1">
      <pivotArea type="data" outline="0" fieldPosition="0">
        <references count="2">
          <reference field="4294967294" count="1" selected="0">
            <x v="0"/>
          </reference>
          <reference field="1" count="1" selected="0">
            <x v="7"/>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6" format="7" series="1">
      <pivotArea type="data" outline="0" fieldPosition="0">
        <references count="2">
          <reference field="4294967294" count="1" selected="0">
            <x v="0"/>
          </reference>
          <reference field="1" count="1" selected="0">
            <x v="7"/>
          </reference>
        </references>
      </pivotArea>
    </chartFormat>
    <chartFormat chart="5"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02D96-181F-4B7B-95EA-9651BF2B6420}"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 " colHeaderCaption=" ">
  <location ref="I17:L21" firstHeaderRow="1" firstDataRow="2" firstDataCol="1"/>
  <pivotFields count="6">
    <pivotField showAll="0"/>
    <pivotField axis="axisRow" showAll="0">
      <items count="3">
        <item x="1"/>
        <item x="0"/>
        <item t="default"/>
      </items>
    </pivotField>
    <pivotField axis="axisCol" showAll="0">
      <items count="4">
        <item x="1"/>
        <item x="2"/>
        <item x="0"/>
        <item t="default"/>
      </items>
    </pivotField>
    <pivotField showAll="0"/>
    <pivotField showAll="0"/>
    <pivotField dataField="1" showAll="0"/>
  </pivotFields>
  <rowFields count="1">
    <field x="1"/>
  </rowFields>
  <rowItems count="3">
    <i>
      <x/>
    </i>
    <i>
      <x v="1"/>
    </i>
    <i t="grand">
      <x/>
    </i>
  </rowItems>
  <colFields count="1">
    <field x="2"/>
  </colFields>
  <colItems count="3">
    <i>
      <x/>
    </i>
    <i>
      <x v="1"/>
    </i>
    <i>
      <x v="2"/>
    </i>
  </colItems>
  <dataFields count="1">
    <dataField name=" " fld="5"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NAME" xr10:uid="{E4556E4E-CE46-4ED6-B9CC-A2EDD4376920}" sourceName="DRUG NAME">
  <pivotTables>
    <pivotTable tabId="1" name="PivotTable8"/>
  </pivotTables>
  <data>
    <tabular pivotCacheId="765108918">
      <items count="8">
        <i x="2" s="1"/>
        <i x="4" s="1"/>
        <i x="6" s="1"/>
        <i x="1" s="1"/>
        <i x="5" s="1"/>
        <i x="3"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5579A38-5C70-4826-8E04-8298977CD834}" sourceName="Months (DATE)">
  <pivotTables>
    <pivotTable tabId="1" name="PivotTable8"/>
  </pivotTables>
  <data>
    <tabular pivotCacheId="765108918">
      <items count="14">
        <i x="1" s="1"/>
        <i x="2" s="1"/>
        <i x="3" s="1"/>
        <i x="4" s="1"/>
        <i x="5" s="1"/>
        <i x="6" s="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IC_BRAND" xr10:uid="{BD03CBFA-F5E1-482A-BE5E-8A2B8CAA7D39}" sourceName="GENERIC/BRAND">
  <pivotTables>
    <pivotTable tabId="1" name="PivotTable9"/>
  </pivotTables>
  <data>
    <tabular pivotCacheId="108164246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34305B-C64E-4508-83E2-10446F0DDFB0}" sourceName="CATEGORY">
  <pivotTables>
    <pivotTable tabId="1" name="PivotTable9"/>
  </pivotTables>
  <data>
    <tabular pivotCacheId="108164246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UG NAME" xr10:uid="{E2E193CB-F11C-406B-A2EE-BB3807F93391}" cache="Slicer_DRUG_NAME" caption="DRUG NAME" rowHeight="234950"/>
  <slicer name="Months (DATE)" xr10:uid="{D11DC8B0-D1D5-428B-9750-BEDF363E306B}" cache="Slicer_Months__DATE" caption="Months (DATE)" rowHeight="234950"/>
  <slicer name="GENERIC/BRAND" xr10:uid="{3DEA3C3F-6241-41FF-B096-66B0B05AE0CD}" cache="Slicer_GENERIC_BRAND" caption="GENERIC/BRAND" style="SlicerStyleLight2" rowHeight="234950"/>
  <slicer name="CATEGORY" xr10:uid="{2C245393-DCE4-47CD-83C9-982D67343C87}" cache="Slicer_CATEGORY" caption="CATEGORY"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E101-6F68-4C15-A4A6-AF018D1EB56C}">
  <dimension ref="A1:R73"/>
  <sheetViews>
    <sheetView tabSelected="1" zoomScale="82" workbookViewId="0">
      <selection activeCell="Q16" sqref="Q16"/>
    </sheetView>
  </sheetViews>
  <sheetFormatPr defaultRowHeight="14.4" x14ac:dyDescent="0.3"/>
  <cols>
    <col min="1" max="1" width="22.44140625" style="2" customWidth="1"/>
    <col min="2" max="2" width="19.5546875" style="2" customWidth="1"/>
    <col min="3" max="3" width="24.33203125" style="2" customWidth="1"/>
    <col min="4" max="4" width="14.88671875" style="2" customWidth="1"/>
    <col min="5" max="5" width="24.6640625" style="2" customWidth="1"/>
    <col min="6" max="6" width="19.6640625" style="2" customWidth="1"/>
    <col min="7" max="7" width="17.6640625" style="2" customWidth="1"/>
    <col min="8" max="8" width="10.88671875" style="2" customWidth="1"/>
    <col min="9" max="9" width="11.88671875" style="2" customWidth="1"/>
    <col min="10" max="10" width="10.77734375" style="2" customWidth="1"/>
    <col min="11" max="11" width="15.88671875" style="2" customWidth="1"/>
    <col min="12" max="12" width="14.33203125" style="2" bestFit="1" customWidth="1"/>
    <col min="13" max="13" width="7.5546875" style="2" bestFit="1" customWidth="1"/>
    <col min="14" max="14" width="10.109375" style="2" bestFit="1" customWidth="1"/>
    <col min="15" max="16" width="10.77734375" style="2" bestFit="1" customWidth="1"/>
    <col min="17" max="17" width="14.109375" style="2" bestFit="1" customWidth="1"/>
    <col min="18" max="18" width="11.109375" style="2" bestFit="1" customWidth="1"/>
    <col min="19" max="16384" width="8.88671875" style="2"/>
  </cols>
  <sheetData>
    <row r="1" spans="1:18" ht="25.8" x14ac:dyDescent="0.5">
      <c r="B1" s="3"/>
      <c r="C1" s="15"/>
      <c r="D1" s="4"/>
      <c r="E1" s="4"/>
      <c r="F1" s="4"/>
      <c r="G1" s="5"/>
    </row>
    <row r="2" spans="1:18" ht="44.4" customHeight="1" x14ac:dyDescent="0.55000000000000004">
      <c r="A2" s="17" t="s">
        <v>0</v>
      </c>
      <c r="B2" s="17" t="s">
        <v>1</v>
      </c>
      <c r="C2" s="18" t="s">
        <v>25</v>
      </c>
      <c r="D2" s="18" t="s">
        <v>2</v>
      </c>
      <c r="E2" s="18" t="s">
        <v>3</v>
      </c>
      <c r="F2" s="18" t="s">
        <v>4</v>
      </c>
      <c r="G2" s="19" t="s">
        <v>5</v>
      </c>
      <c r="I2" s="39" t="s">
        <v>29</v>
      </c>
      <c r="J2" s="40"/>
      <c r="K2" s="40"/>
      <c r="L2" s="40"/>
      <c r="M2" s="40"/>
      <c r="N2" s="40"/>
      <c r="O2" s="40"/>
      <c r="P2" s="40"/>
      <c r="Q2" s="40"/>
      <c r="R2" s="41"/>
    </row>
    <row r="3" spans="1:18" x14ac:dyDescent="0.3">
      <c r="A3" s="14">
        <v>46053</v>
      </c>
      <c r="B3" s="6" t="s">
        <v>6</v>
      </c>
      <c r="C3" s="2" t="s">
        <v>26</v>
      </c>
      <c r="D3" s="2" t="s">
        <v>7</v>
      </c>
      <c r="E3" s="2">
        <v>130</v>
      </c>
      <c r="F3" s="2">
        <v>0.22</v>
      </c>
      <c r="G3" s="7">
        <f>PRODUCT(E3,F3)</f>
        <v>28.6</v>
      </c>
      <c r="I3" s="42" t="s">
        <v>23</v>
      </c>
      <c r="J3" s="43" t="s">
        <v>23</v>
      </c>
      <c r="K3" s="44"/>
      <c r="L3" s="44"/>
      <c r="M3" s="44"/>
      <c r="N3" s="44"/>
      <c r="O3" s="44"/>
      <c r="P3" s="1"/>
      <c r="Q3" s="44"/>
      <c r="R3" s="1"/>
    </row>
    <row r="4" spans="1:18" x14ac:dyDescent="0.3">
      <c r="A4" s="14">
        <v>46053</v>
      </c>
      <c r="B4" s="6" t="s">
        <v>24</v>
      </c>
      <c r="C4" s="2" t="s">
        <v>27</v>
      </c>
      <c r="D4" s="2" t="s">
        <v>7</v>
      </c>
      <c r="E4" s="2">
        <v>120</v>
      </c>
      <c r="F4" s="2">
        <v>0.28999999999999998</v>
      </c>
      <c r="G4" s="7">
        <f>PRODUCT(E4,F4)</f>
        <v>34.799999999999997</v>
      </c>
      <c r="I4" s="42" t="s">
        <v>22</v>
      </c>
      <c r="J4" s="44" t="s">
        <v>28</v>
      </c>
      <c r="K4" s="44" t="s">
        <v>9</v>
      </c>
      <c r="L4" s="44" t="s">
        <v>13</v>
      </c>
      <c r="M4" s="44" t="s">
        <v>24</v>
      </c>
      <c r="N4" s="44" t="s">
        <v>11</v>
      </c>
      <c r="O4" s="44" t="s">
        <v>8</v>
      </c>
      <c r="P4" s="1" t="s">
        <v>14</v>
      </c>
      <c r="Q4" s="44" t="s">
        <v>6</v>
      </c>
      <c r="R4" s="1" t="s">
        <v>15</v>
      </c>
    </row>
    <row r="5" spans="1:18" x14ac:dyDescent="0.3">
      <c r="A5" s="14">
        <v>46053</v>
      </c>
      <c r="B5" s="6" t="s">
        <v>28</v>
      </c>
      <c r="C5" s="2" t="s">
        <v>27</v>
      </c>
      <c r="D5" s="2" t="s">
        <v>7</v>
      </c>
      <c r="E5" s="2">
        <v>120</v>
      </c>
      <c r="F5" s="2">
        <v>0.35</v>
      </c>
      <c r="G5" s="7">
        <f>PRODUCT(E5,F5)</f>
        <v>42</v>
      </c>
      <c r="I5" s="45" t="s">
        <v>16</v>
      </c>
      <c r="J5" s="46">
        <v>42</v>
      </c>
      <c r="K5" s="46">
        <v>45</v>
      </c>
      <c r="L5" s="46">
        <v>90</v>
      </c>
      <c r="M5" s="46">
        <v>34.799999999999997</v>
      </c>
      <c r="N5" s="46">
        <v>42.000000000000007</v>
      </c>
      <c r="O5" s="46">
        <v>42.5</v>
      </c>
      <c r="P5" s="38">
        <v>52.199999999999996</v>
      </c>
      <c r="Q5" s="46">
        <v>28.6</v>
      </c>
      <c r="R5" s="38">
        <v>377.1</v>
      </c>
    </row>
    <row r="6" spans="1:18" x14ac:dyDescent="0.3">
      <c r="A6" s="14">
        <v>46053</v>
      </c>
      <c r="B6" s="6" t="s">
        <v>8</v>
      </c>
      <c r="C6" s="2" t="s">
        <v>26</v>
      </c>
      <c r="D6" s="2" t="s">
        <v>7</v>
      </c>
      <c r="E6" s="2">
        <v>170</v>
      </c>
      <c r="F6" s="2">
        <v>0.25</v>
      </c>
      <c r="G6" s="7">
        <f t="shared" ref="G6:G10" si="0">PRODUCT(E6,F6)</f>
        <v>42.5</v>
      </c>
      <c r="I6" s="45" t="s">
        <v>17</v>
      </c>
      <c r="J6" s="46">
        <v>31.499999999999996</v>
      </c>
      <c r="K6" s="46">
        <v>50</v>
      </c>
      <c r="L6" s="46">
        <v>97.5</v>
      </c>
      <c r="M6" s="46">
        <v>28.999999999999996</v>
      </c>
      <c r="N6" s="46">
        <v>50.400000000000006</v>
      </c>
      <c r="O6" s="46">
        <v>37.5</v>
      </c>
      <c r="P6" s="38">
        <v>52.779999999999994</v>
      </c>
      <c r="Q6" s="46">
        <v>37.4</v>
      </c>
      <c r="R6" s="38">
        <v>386.07999999999993</v>
      </c>
    </row>
    <row r="7" spans="1:18" x14ac:dyDescent="0.3">
      <c r="A7" s="14">
        <v>46053</v>
      </c>
      <c r="B7" s="6" t="s">
        <v>9</v>
      </c>
      <c r="C7" s="2" t="s">
        <v>26</v>
      </c>
      <c r="D7" s="2" t="s">
        <v>10</v>
      </c>
      <c r="E7" s="2">
        <v>90</v>
      </c>
      <c r="F7" s="2">
        <v>0.5</v>
      </c>
      <c r="G7" s="7">
        <f t="shared" si="0"/>
        <v>45</v>
      </c>
      <c r="I7" s="45" t="s">
        <v>18</v>
      </c>
      <c r="J7" s="46">
        <v>29.749999999999996</v>
      </c>
      <c r="K7" s="46">
        <v>49.5</v>
      </c>
      <c r="L7" s="46">
        <v>97.5</v>
      </c>
      <c r="M7" s="46">
        <v>28.999999999999996</v>
      </c>
      <c r="N7" s="46">
        <v>42.56</v>
      </c>
      <c r="O7" s="46">
        <v>43</v>
      </c>
      <c r="P7" s="38">
        <v>52.779999999999994</v>
      </c>
      <c r="Q7" s="46">
        <v>30.8</v>
      </c>
      <c r="R7" s="38">
        <v>374.89</v>
      </c>
    </row>
    <row r="8" spans="1:18" x14ac:dyDescent="0.3">
      <c r="A8" s="14">
        <v>46053</v>
      </c>
      <c r="B8" s="6" t="s">
        <v>11</v>
      </c>
      <c r="C8" s="2" t="s">
        <v>26</v>
      </c>
      <c r="D8" s="2" t="s">
        <v>12</v>
      </c>
      <c r="E8" s="2">
        <v>150</v>
      </c>
      <c r="F8" s="2">
        <v>0.28000000000000003</v>
      </c>
      <c r="G8" s="7">
        <f t="shared" si="0"/>
        <v>42.000000000000007</v>
      </c>
      <c r="I8" s="45" t="s">
        <v>19</v>
      </c>
      <c r="J8" s="46">
        <v>28</v>
      </c>
      <c r="K8" s="46">
        <v>33.5</v>
      </c>
      <c r="L8" s="46">
        <v>60</v>
      </c>
      <c r="M8" s="46">
        <v>34.799999999999997</v>
      </c>
      <c r="N8" s="46">
        <v>28.000000000000004</v>
      </c>
      <c r="O8" s="46">
        <v>40</v>
      </c>
      <c r="P8" s="38">
        <v>49.3</v>
      </c>
      <c r="Q8" s="46">
        <v>28.16</v>
      </c>
      <c r="R8" s="38">
        <v>301.76000000000005</v>
      </c>
    </row>
    <row r="9" spans="1:18" x14ac:dyDescent="0.3">
      <c r="A9" s="14">
        <v>46053</v>
      </c>
      <c r="B9" s="6" t="s">
        <v>13</v>
      </c>
      <c r="C9" s="2" t="s">
        <v>26</v>
      </c>
      <c r="D9" s="2" t="s">
        <v>10</v>
      </c>
      <c r="E9" s="2">
        <v>60</v>
      </c>
      <c r="F9" s="2">
        <v>1.5</v>
      </c>
      <c r="G9" s="7">
        <f t="shared" si="0"/>
        <v>90</v>
      </c>
      <c r="I9" s="45" t="s">
        <v>20</v>
      </c>
      <c r="J9" s="46">
        <v>28</v>
      </c>
      <c r="K9" s="46">
        <v>35</v>
      </c>
      <c r="L9" s="46">
        <v>90</v>
      </c>
      <c r="M9" s="46">
        <v>34.799999999999997</v>
      </c>
      <c r="N9" s="46">
        <v>44.52</v>
      </c>
      <c r="O9" s="46">
        <v>47.5</v>
      </c>
      <c r="P9" s="38">
        <v>54.809999999999995</v>
      </c>
      <c r="Q9" s="46">
        <v>25.3</v>
      </c>
      <c r="R9" s="38">
        <v>359.93000000000006</v>
      </c>
    </row>
    <row r="10" spans="1:18" x14ac:dyDescent="0.3">
      <c r="A10" s="16">
        <v>46053</v>
      </c>
      <c r="B10" s="8" t="s">
        <v>14</v>
      </c>
      <c r="C10" s="9" t="s">
        <v>26</v>
      </c>
      <c r="D10" s="9" t="s">
        <v>10</v>
      </c>
      <c r="E10" s="9">
        <v>180</v>
      </c>
      <c r="F10" s="9">
        <v>0.28999999999999998</v>
      </c>
      <c r="G10" s="10">
        <f t="shared" si="0"/>
        <v>52.199999999999996</v>
      </c>
      <c r="I10" s="45" t="s">
        <v>21</v>
      </c>
      <c r="J10" s="46">
        <v>26.599999999999998</v>
      </c>
      <c r="K10" s="46">
        <v>40</v>
      </c>
      <c r="L10" s="46">
        <v>105</v>
      </c>
      <c r="M10" s="46">
        <v>28.419999999999998</v>
      </c>
      <c r="N10" s="46">
        <v>40.6</v>
      </c>
      <c r="O10" s="46">
        <v>40</v>
      </c>
      <c r="P10" s="38">
        <v>50.459999999999994</v>
      </c>
      <c r="Q10" s="46">
        <v>33</v>
      </c>
      <c r="R10" s="38">
        <v>364.08</v>
      </c>
    </row>
    <row r="11" spans="1:18" x14ac:dyDescent="0.3">
      <c r="A11" s="13">
        <v>46081</v>
      </c>
      <c r="B11" s="6" t="s">
        <v>6</v>
      </c>
      <c r="C11" s="2" t="s">
        <v>26</v>
      </c>
      <c r="D11" s="2" t="s">
        <v>7</v>
      </c>
      <c r="E11" s="2">
        <v>170</v>
      </c>
      <c r="F11" s="2">
        <v>0.22</v>
      </c>
      <c r="G11" s="7">
        <f>PRODUCT(E11,F11)</f>
        <v>37.4</v>
      </c>
      <c r="I11" s="47" t="s">
        <v>15</v>
      </c>
      <c r="J11" s="48">
        <v>185.85</v>
      </c>
      <c r="K11" s="48">
        <v>253</v>
      </c>
      <c r="L11" s="48">
        <v>540</v>
      </c>
      <c r="M11" s="48">
        <v>190.81999999999996</v>
      </c>
      <c r="N11" s="48">
        <v>248.08</v>
      </c>
      <c r="O11" s="48">
        <v>250.5</v>
      </c>
      <c r="P11" s="49">
        <v>312.33</v>
      </c>
      <c r="Q11" s="48">
        <v>183.26</v>
      </c>
      <c r="R11" s="49">
        <v>2163.84</v>
      </c>
    </row>
    <row r="12" spans="1:18" x14ac:dyDescent="0.3">
      <c r="A12" s="13">
        <v>46081</v>
      </c>
      <c r="B12" s="6" t="s">
        <v>24</v>
      </c>
      <c r="C12" s="2" t="s">
        <v>27</v>
      </c>
      <c r="D12" s="2" t="s">
        <v>7</v>
      </c>
      <c r="E12" s="2">
        <v>100</v>
      </c>
      <c r="F12" s="2">
        <v>0.28999999999999998</v>
      </c>
      <c r="G12" s="7">
        <f>PRODUCT(E12,F12)</f>
        <v>28.999999999999996</v>
      </c>
      <c r="I12"/>
      <c r="J12"/>
      <c r="K12"/>
      <c r="L12"/>
      <c r="M12"/>
      <c r="N12"/>
      <c r="O12"/>
      <c r="P12"/>
      <c r="Q12"/>
      <c r="R12"/>
    </row>
    <row r="13" spans="1:18" x14ac:dyDescent="0.3">
      <c r="A13" s="13">
        <v>46081</v>
      </c>
      <c r="B13" s="6" t="s">
        <v>28</v>
      </c>
      <c r="C13" s="2" t="s">
        <v>27</v>
      </c>
      <c r="D13" s="2" t="s">
        <v>7</v>
      </c>
      <c r="E13" s="2">
        <v>90</v>
      </c>
      <c r="F13" s="2">
        <v>0.35</v>
      </c>
      <c r="G13" s="7">
        <f>PRODUCT(E13,F13)</f>
        <v>31.499999999999996</v>
      </c>
      <c r="I13"/>
      <c r="J13"/>
      <c r="K13"/>
      <c r="L13"/>
      <c r="M13"/>
      <c r="N13"/>
      <c r="O13"/>
      <c r="P13"/>
      <c r="Q13"/>
      <c r="R13"/>
    </row>
    <row r="14" spans="1:18" x14ac:dyDescent="0.3">
      <c r="A14" s="13">
        <v>46081</v>
      </c>
      <c r="B14" s="6" t="s">
        <v>8</v>
      </c>
      <c r="C14" s="2" t="s">
        <v>26</v>
      </c>
      <c r="D14" s="2" t="s">
        <v>7</v>
      </c>
      <c r="E14" s="2">
        <v>150</v>
      </c>
      <c r="F14" s="2">
        <v>0.25</v>
      </c>
      <c r="G14" s="7">
        <f t="shared" ref="G14:G18" si="1">PRODUCT(E14,F14)</f>
        <v>37.5</v>
      </c>
      <c r="I14"/>
      <c r="J14"/>
      <c r="K14"/>
      <c r="L14"/>
      <c r="M14"/>
      <c r="N14"/>
      <c r="O14"/>
      <c r="P14"/>
      <c r="Q14"/>
      <c r="R14"/>
    </row>
    <row r="15" spans="1:18" x14ac:dyDescent="0.3">
      <c r="A15" s="13">
        <v>46081</v>
      </c>
      <c r="B15" s="6" t="s">
        <v>9</v>
      </c>
      <c r="C15" s="2" t="s">
        <v>26</v>
      </c>
      <c r="D15" s="2" t="s">
        <v>10</v>
      </c>
      <c r="E15" s="2">
        <v>100</v>
      </c>
      <c r="F15" s="2">
        <v>0.5</v>
      </c>
      <c r="G15" s="7">
        <f t="shared" si="1"/>
        <v>50</v>
      </c>
      <c r="I15"/>
      <c r="J15"/>
      <c r="K15"/>
      <c r="L15"/>
      <c r="M15"/>
      <c r="N15"/>
      <c r="O15"/>
      <c r="P15"/>
      <c r="Q15"/>
      <c r="R15"/>
    </row>
    <row r="16" spans="1:18" ht="23.4" x14ac:dyDescent="0.45">
      <c r="A16" s="13">
        <v>46081</v>
      </c>
      <c r="B16" s="6" t="s">
        <v>11</v>
      </c>
      <c r="C16" s="2" t="s">
        <v>26</v>
      </c>
      <c r="D16" s="2" t="s">
        <v>12</v>
      </c>
      <c r="E16" s="2">
        <v>180</v>
      </c>
      <c r="F16" s="2">
        <v>0.28000000000000003</v>
      </c>
      <c r="G16" s="7">
        <f t="shared" si="1"/>
        <v>50.400000000000006</v>
      </c>
      <c r="I16" s="31" t="s">
        <v>30</v>
      </c>
      <c r="J16" s="32"/>
      <c r="K16" s="32"/>
      <c r="L16" s="33"/>
      <c r="M16"/>
      <c r="N16"/>
      <c r="O16"/>
      <c r="P16"/>
      <c r="Q16"/>
      <c r="R16"/>
    </row>
    <row r="17" spans="1:18" x14ac:dyDescent="0.3">
      <c r="A17" s="13">
        <v>46081</v>
      </c>
      <c r="B17" s="6" t="s">
        <v>13</v>
      </c>
      <c r="C17" s="2" t="s">
        <v>26</v>
      </c>
      <c r="D17" s="2" t="s">
        <v>10</v>
      </c>
      <c r="E17" s="2">
        <v>65</v>
      </c>
      <c r="F17" s="2">
        <v>1.5</v>
      </c>
      <c r="G17" s="7">
        <f t="shared" si="1"/>
        <v>97.5</v>
      </c>
      <c r="I17" s="11" t="s">
        <v>23</v>
      </c>
      <c r="J17" s="11" t="s">
        <v>23</v>
      </c>
      <c r="K17"/>
      <c r="L17"/>
      <c r="M17"/>
      <c r="N17"/>
      <c r="O17"/>
      <c r="P17"/>
      <c r="Q17"/>
      <c r="R17"/>
    </row>
    <row r="18" spans="1:18" x14ac:dyDescent="0.3">
      <c r="A18" s="20">
        <v>46081</v>
      </c>
      <c r="B18" s="8" t="s">
        <v>14</v>
      </c>
      <c r="C18" s="9" t="s">
        <v>26</v>
      </c>
      <c r="D18" s="9" t="s">
        <v>10</v>
      </c>
      <c r="E18" s="9">
        <v>182</v>
      </c>
      <c r="F18" s="9">
        <v>0.28999999999999998</v>
      </c>
      <c r="G18" s="10">
        <f t="shared" si="1"/>
        <v>52.779999999999994</v>
      </c>
      <c r="I18" s="11" t="s">
        <v>23</v>
      </c>
      <c r="J18" t="s">
        <v>10</v>
      </c>
      <c r="K18" t="s">
        <v>12</v>
      </c>
      <c r="L18" t="s">
        <v>7</v>
      </c>
      <c r="M18"/>
      <c r="N18"/>
      <c r="O18"/>
      <c r="P18"/>
      <c r="Q18"/>
      <c r="R18"/>
    </row>
    <row r="19" spans="1:18" x14ac:dyDescent="0.3">
      <c r="A19" s="13">
        <v>46112</v>
      </c>
      <c r="B19" s="6" t="s">
        <v>6</v>
      </c>
      <c r="C19" s="2" t="s">
        <v>26</v>
      </c>
      <c r="D19" s="2" t="s">
        <v>7</v>
      </c>
      <c r="E19" s="2">
        <v>140</v>
      </c>
      <c r="F19" s="2">
        <v>0.22</v>
      </c>
      <c r="G19" s="7">
        <f>PRODUCT(E19,F19)</f>
        <v>30.8</v>
      </c>
      <c r="I19" s="12" t="s">
        <v>27</v>
      </c>
      <c r="J19"/>
      <c r="K19"/>
      <c r="L19">
        <v>376.67</v>
      </c>
      <c r="M19"/>
    </row>
    <row r="20" spans="1:18" x14ac:dyDescent="0.3">
      <c r="A20" s="13">
        <v>46112</v>
      </c>
      <c r="B20" s="6" t="s">
        <v>24</v>
      </c>
      <c r="C20" s="2" t="s">
        <v>27</v>
      </c>
      <c r="D20" s="2" t="s">
        <v>7</v>
      </c>
      <c r="E20" s="2">
        <v>100</v>
      </c>
      <c r="F20" s="2">
        <v>0.28999999999999998</v>
      </c>
      <c r="G20" s="7">
        <f t="shared" ref="G20:G21" si="2">PRODUCT(E20,F20)</f>
        <v>28.999999999999996</v>
      </c>
      <c r="I20" s="12" t="s">
        <v>26</v>
      </c>
      <c r="J20">
        <v>1105.33</v>
      </c>
      <c r="K20">
        <v>248.08</v>
      </c>
      <c r="L20">
        <v>433.76000000000005</v>
      </c>
      <c r="M20"/>
    </row>
    <row r="21" spans="1:18" x14ac:dyDescent="0.3">
      <c r="A21" s="13">
        <v>46112</v>
      </c>
      <c r="B21" s="6" t="s">
        <v>28</v>
      </c>
      <c r="C21" s="2" t="s">
        <v>27</v>
      </c>
      <c r="D21" s="2" t="s">
        <v>7</v>
      </c>
      <c r="E21" s="2">
        <v>85</v>
      </c>
      <c r="F21" s="2">
        <v>0.35</v>
      </c>
      <c r="G21" s="7">
        <f t="shared" si="2"/>
        <v>29.749999999999996</v>
      </c>
      <c r="I21" s="12" t="s">
        <v>15</v>
      </c>
      <c r="J21">
        <v>1105.33</v>
      </c>
      <c r="K21">
        <v>248.08</v>
      </c>
      <c r="L21">
        <v>810.43000000000006</v>
      </c>
      <c r="M21"/>
    </row>
    <row r="22" spans="1:18" ht="15" thickBot="1" x14ac:dyDescent="0.35">
      <c r="A22" s="13">
        <v>46112</v>
      </c>
      <c r="B22" s="6" t="s">
        <v>8</v>
      </c>
      <c r="C22" s="2" t="s">
        <v>26</v>
      </c>
      <c r="D22" s="2" t="s">
        <v>7</v>
      </c>
      <c r="E22" s="2">
        <v>172</v>
      </c>
      <c r="F22" s="2">
        <v>0.25</v>
      </c>
      <c r="G22" s="7">
        <f t="shared" ref="G22:G26" si="3">PRODUCT(E22,F22)</f>
        <v>43</v>
      </c>
      <c r="I22"/>
      <c r="J22"/>
      <c r="K22"/>
      <c r="L22"/>
    </row>
    <row r="23" spans="1:18" ht="24" thickTop="1" x14ac:dyDescent="0.45">
      <c r="A23" s="13">
        <v>46112</v>
      </c>
      <c r="B23" s="6" t="s">
        <v>9</v>
      </c>
      <c r="C23" s="2" t="s">
        <v>26</v>
      </c>
      <c r="D23" s="2" t="s">
        <v>10</v>
      </c>
      <c r="E23" s="2">
        <v>99</v>
      </c>
      <c r="F23" s="2">
        <v>0.5</v>
      </c>
      <c r="G23" s="7">
        <f t="shared" si="3"/>
        <v>49.5</v>
      </c>
      <c r="H23" s="21"/>
      <c r="I23" s="34" t="s">
        <v>31</v>
      </c>
      <c r="J23" s="35"/>
      <c r="K23" s="35"/>
      <c r="L23" s="24">
        <f>MAX(F3:F50)</f>
        <v>1.5</v>
      </c>
      <c r="M23" s="22"/>
    </row>
    <row r="24" spans="1:18" ht="24" thickBot="1" x14ac:dyDescent="0.5">
      <c r="A24" s="13">
        <v>46112</v>
      </c>
      <c r="B24" s="6" t="s">
        <v>11</v>
      </c>
      <c r="C24" s="2" t="s">
        <v>26</v>
      </c>
      <c r="D24" s="2" t="s">
        <v>12</v>
      </c>
      <c r="E24" s="2">
        <v>152</v>
      </c>
      <c r="F24" s="2">
        <v>0.28000000000000003</v>
      </c>
      <c r="G24" s="7">
        <f t="shared" si="3"/>
        <v>42.56</v>
      </c>
      <c r="I24" s="36" t="s">
        <v>32</v>
      </c>
      <c r="J24" s="37"/>
      <c r="K24" s="37"/>
      <c r="L24" s="23">
        <f>MIN(F3:F50)</f>
        <v>0.22</v>
      </c>
    </row>
    <row r="25" spans="1:18" ht="15.6" thickTop="1" thickBot="1" x14ac:dyDescent="0.35">
      <c r="A25" s="13">
        <v>46112</v>
      </c>
      <c r="B25" s="6" t="s">
        <v>13</v>
      </c>
      <c r="C25" s="2" t="s">
        <v>26</v>
      </c>
      <c r="D25" s="2" t="s">
        <v>10</v>
      </c>
      <c r="E25" s="2">
        <v>65</v>
      </c>
      <c r="F25" s="2">
        <v>1.5</v>
      </c>
      <c r="G25" s="7">
        <f t="shared" si="3"/>
        <v>97.5</v>
      </c>
      <c r="I25"/>
      <c r="J25"/>
      <c r="K25"/>
      <c r="L25"/>
    </row>
    <row r="26" spans="1:18" ht="26.4" thickTop="1" x14ac:dyDescent="0.5">
      <c r="A26" s="20">
        <v>46112</v>
      </c>
      <c r="B26" s="8" t="s">
        <v>14</v>
      </c>
      <c r="C26" s="9" t="s">
        <v>26</v>
      </c>
      <c r="D26" s="9" t="s">
        <v>10</v>
      </c>
      <c r="E26" s="9">
        <v>182</v>
      </c>
      <c r="F26" s="9">
        <v>0.28999999999999998</v>
      </c>
      <c r="G26" s="10">
        <f t="shared" si="3"/>
        <v>52.779999999999994</v>
      </c>
      <c r="I26" s="27" t="s">
        <v>33</v>
      </c>
      <c r="J26" s="28"/>
      <c r="K26" s="28"/>
      <c r="L26" s="25">
        <f>MAX(E3:E50)</f>
        <v>190</v>
      </c>
    </row>
    <row r="27" spans="1:18" ht="26.4" thickBot="1" x14ac:dyDescent="0.55000000000000004">
      <c r="A27" s="13">
        <v>46142</v>
      </c>
      <c r="B27" s="6" t="s">
        <v>6</v>
      </c>
      <c r="C27" s="2" t="s">
        <v>26</v>
      </c>
      <c r="D27" s="2" t="s">
        <v>7</v>
      </c>
      <c r="E27" s="2">
        <v>128</v>
      </c>
      <c r="F27" s="2">
        <v>0.22</v>
      </c>
      <c r="G27" s="7">
        <f>PRODUCT(E27,F27)</f>
        <v>28.16</v>
      </c>
      <c r="I27" s="29" t="s">
        <v>34</v>
      </c>
      <c r="J27" s="30"/>
      <c r="K27" s="30"/>
      <c r="L27" s="26">
        <f>MIN(E3:E50)</f>
        <v>40</v>
      </c>
    </row>
    <row r="28" spans="1:18" ht="15" thickTop="1" x14ac:dyDescent="0.3">
      <c r="A28" s="13">
        <v>46142</v>
      </c>
      <c r="B28" s="6" t="s">
        <v>24</v>
      </c>
      <c r="C28" s="2" t="s">
        <v>27</v>
      </c>
      <c r="D28" s="2" t="s">
        <v>7</v>
      </c>
      <c r="E28" s="2">
        <v>120</v>
      </c>
      <c r="F28" s="2">
        <v>0.28999999999999998</v>
      </c>
      <c r="G28" s="7">
        <f t="shared" ref="G28:G29" si="4">PRODUCT(E28,F28)</f>
        <v>34.799999999999997</v>
      </c>
      <c r="I28"/>
      <c r="J28"/>
      <c r="K28"/>
      <c r="L28"/>
    </row>
    <row r="29" spans="1:18" x14ac:dyDescent="0.3">
      <c r="A29" s="13">
        <v>46142</v>
      </c>
      <c r="B29" s="6" t="s">
        <v>28</v>
      </c>
      <c r="C29" s="2" t="s">
        <v>27</v>
      </c>
      <c r="D29" s="2" t="s">
        <v>7</v>
      </c>
      <c r="E29" s="2">
        <v>80</v>
      </c>
      <c r="F29" s="2">
        <v>0.35</v>
      </c>
      <c r="G29" s="7">
        <f t="shared" si="4"/>
        <v>28</v>
      </c>
      <c r="I29"/>
      <c r="J29"/>
      <c r="K29"/>
      <c r="L29"/>
    </row>
    <row r="30" spans="1:18" x14ac:dyDescent="0.3">
      <c r="A30" s="13">
        <v>46142</v>
      </c>
      <c r="B30" s="6" t="s">
        <v>8</v>
      </c>
      <c r="C30" s="2" t="s">
        <v>26</v>
      </c>
      <c r="D30" s="2" t="s">
        <v>7</v>
      </c>
      <c r="E30" s="2">
        <v>160</v>
      </c>
      <c r="F30" s="2">
        <v>0.25</v>
      </c>
      <c r="G30" s="7">
        <f>PRODUCT(E30,F30)</f>
        <v>40</v>
      </c>
      <c r="I30"/>
      <c r="J30"/>
      <c r="K30"/>
      <c r="L30"/>
    </row>
    <row r="31" spans="1:18" x14ac:dyDescent="0.3">
      <c r="A31" s="13">
        <v>46142</v>
      </c>
      <c r="B31" s="6" t="s">
        <v>9</v>
      </c>
      <c r="C31" s="2" t="s">
        <v>26</v>
      </c>
      <c r="D31" s="2" t="s">
        <v>10</v>
      </c>
      <c r="E31" s="2">
        <v>67</v>
      </c>
      <c r="F31" s="2">
        <v>0.5</v>
      </c>
      <c r="G31" s="7">
        <f t="shared" ref="G31:G34" si="5">PRODUCT(E31,F31)</f>
        <v>33.5</v>
      </c>
      <c r="I31"/>
      <c r="J31"/>
      <c r="K31"/>
      <c r="L31"/>
    </row>
    <row r="32" spans="1:18" x14ac:dyDescent="0.3">
      <c r="A32" s="13">
        <v>46142</v>
      </c>
      <c r="B32" s="6" t="s">
        <v>11</v>
      </c>
      <c r="C32" s="2" t="s">
        <v>26</v>
      </c>
      <c r="D32" s="2" t="s">
        <v>12</v>
      </c>
      <c r="E32" s="2">
        <v>100</v>
      </c>
      <c r="F32" s="2">
        <v>0.28000000000000003</v>
      </c>
      <c r="G32" s="7">
        <f t="shared" si="5"/>
        <v>28.000000000000004</v>
      </c>
      <c r="I32"/>
      <c r="J32"/>
      <c r="K32"/>
      <c r="L32"/>
    </row>
    <row r="33" spans="1:12" x14ac:dyDescent="0.3">
      <c r="A33" s="13">
        <v>46142</v>
      </c>
      <c r="B33" s="6" t="s">
        <v>13</v>
      </c>
      <c r="C33" s="2" t="s">
        <v>26</v>
      </c>
      <c r="D33" s="2" t="s">
        <v>10</v>
      </c>
      <c r="E33" s="2">
        <v>40</v>
      </c>
      <c r="F33" s="2">
        <v>1.5</v>
      </c>
      <c r="G33" s="7">
        <f t="shared" si="5"/>
        <v>60</v>
      </c>
      <c r="I33"/>
      <c r="J33"/>
      <c r="K33"/>
      <c r="L33"/>
    </row>
    <row r="34" spans="1:12" x14ac:dyDescent="0.3">
      <c r="A34" s="20">
        <v>46142</v>
      </c>
      <c r="B34" s="8" t="s">
        <v>14</v>
      </c>
      <c r="C34" s="9" t="s">
        <v>26</v>
      </c>
      <c r="D34" s="9" t="s">
        <v>10</v>
      </c>
      <c r="E34" s="9">
        <v>170</v>
      </c>
      <c r="F34" s="9">
        <v>0.28999999999999998</v>
      </c>
      <c r="G34" s="10">
        <f t="shared" si="5"/>
        <v>49.3</v>
      </c>
      <c r="I34"/>
      <c r="J34"/>
      <c r="K34"/>
      <c r="L34"/>
    </row>
    <row r="35" spans="1:12" x14ac:dyDescent="0.3">
      <c r="A35" s="13">
        <v>46173</v>
      </c>
      <c r="B35" s="6" t="s">
        <v>6</v>
      </c>
      <c r="C35" s="2" t="s">
        <v>26</v>
      </c>
      <c r="D35" s="2" t="s">
        <v>7</v>
      </c>
      <c r="E35" s="2">
        <v>115</v>
      </c>
      <c r="F35" s="2">
        <v>0.22</v>
      </c>
      <c r="G35" s="7">
        <f>PRODUCT(E35,F35)</f>
        <v>25.3</v>
      </c>
      <c r="I35"/>
      <c r="J35"/>
      <c r="K35"/>
      <c r="L35"/>
    </row>
    <row r="36" spans="1:12" x14ac:dyDescent="0.3">
      <c r="A36" s="13">
        <v>46173</v>
      </c>
      <c r="B36" s="6" t="s">
        <v>24</v>
      </c>
      <c r="C36" s="2" t="s">
        <v>27</v>
      </c>
      <c r="D36" s="2" t="s">
        <v>7</v>
      </c>
      <c r="E36" s="2">
        <v>120</v>
      </c>
      <c r="F36" s="2">
        <v>0.28999999999999998</v>
      </c>
      <c r="G36" s="7">
        <f t="shared" ref="G36:G37" si="6">PRODUCT(E36,F36)</f>
        <v>34.799999999999997</v>
      </c>
      <c r="I36"/>
      <c r="J36"/>
      <c r="K36"/>
      <c r="L36"/>
    </row>
    <row r="37" spans="1:12" x14ac:dyDescent="0.3">
      <c r="A37" s="13">
        <v>46173</v>
      </c>
      <c r="B37" s="6" t="s">
        <v>28</v>
      </c>
      <c r="C37" s="2" t="s">
        <v>27</v>
      </c>
      <c r="D37" s="2" t="s">
        <v>7</v>
      </c>
      <c r="E37" s="2">
        <v>80</v>
      </c>
      <c r="F37" s="2">
        <v>0.35</v>
      </c>
      <c r="G37" s="7">
        <f t="shared" si="6"/>
        <v>28</v>
      </c>
      <c r="I37"/>
      <c r="J37"/>
      <c r="K37"/>
      <c r="L37"/>
    </row>
    <row r="38" spans="1:12" x14ac:dyDescent="0.3">
      <c r="A38" s="13">
        <v>46173</v>
      </c>
      <c r="B38" s="6" t="s">
        <v>8</v>
      </c>
      <c r="C38" s="2" t="s">
        <v>26</v>
      </c>
      <c r="D38" s="2" t="s">
        <v>7</v>
      </c>
      <c r="E38" s="2">
        <v>190</v>
      </c>
      <c r="F38" s="2">
        <v>0.25</v>
      </c>
      <c r="G38" s="7">
        <f t="shared" ref="G38:G42" si="7">PRODUCT(E38,F38)</f>
        <v>47.5</v>
      </c>
      <c r="I38"/>
      <c r="J38"/>
      <c r="K38"/>
      <c r="L38"/>
    </row>
    <row r="39" spans="1:12" x14ac:dyDescent="0.3">
      <c r="A39" s="13">
        <v>46173</v>
      </c>
      <c r="B39" s="6" t="s">
        <v>9</v>
      </c>
      <c r="C39" s="2" t="s">
        <v>26</v>
      </c>
      <c r="D39" s="2" t="s">
        <v>10</v>
      </c>
      <c r="E39" s="2">
        <v>70</v>
      </c>
      <c r="F39" s="2">
        <v>0.5</v>
      </c>
      <c r="G39" s="7">
        <f t="shared" si="7"/>
        <v>35</v>
      </c>
      <c r="I39"/>
      <c r="J39"/>
      <c r="K39"/>
      <c r="L39"/>
    </row>
    <row r="40" spans="1:12" x14ac:dyDescent="0.3">
      <c r="A40" s="13">
        <v>46173</v>
      </c>
      <c r="B40" s="6" t="s">
        <v>11</v>
      </c>
      <c r="C40" s="2" t="s">
        <v>26</v>
      </c>
      <c r="D40" s="2" t="s">
        <v>12</v>
      </c>
      <c r="E40" s="2">
        <v>159</v>
      </c>
      <c r="F40" s="2">
        <v>0.28000000000000003</v>
      </c>
      <c r="G40" s="7">
        <f t="shared" si="7"/>
        <v>44.52</v>
      </c>
      <c r="I40"/>
      <c r="J40"/>
      <c r="K40"/>
      <c r="L40"/>
    </row>
    <row r="41" spans="1:12" x14ac:dyDescent="0.3">
      <c r="A41" s="13">
        <v>46173</v>
      </c>
      <c r="B41" s="6" t="s">
        <v>13</v>
      </c>
      <c r="C41" s="2" t="s">
        <v>26</v>
      </c>
      <c r="D41" s="2" t="s">
        <v>10</v>
      </c>
      <c r="E41" s="2">
        <v>60</v>
      </c>
      <c r="F41" s="2">
        <v>1.5</v>
      </c>
      <c r="G41" s="7">
        <f t="shared" si="7"/>
        <v>90</v>
      </c>
      <c r="I41"/>
      <c r="J41"/>
      <c r="K41"/>
      <c r="L41"/>
    </row>
    <row r="42" spans="1:12" x14ac:dyDescent="0.3">
      <c r="A42" s="20">
        <v>46173</v>
      </c>
      <c r="B42" s="8" t="s">
        <v>14</v>
      </c>
      <c r="C42" s="9" t="s">
        <v>26</v>
      </c>
      <c r="D42" s="9" t="s">
        <v>10</v>
      </c>
      <c r="E42" s="9">
        <v>189</v>
      </c>
      <c r="F42" s="9">
        <v>0.28999999999999998</v>
      </c>
      <c r="G42" s="10">
        <f t="shared" si="7"/>
        <v>54.809999999999995</v>
      </c>
      <c r="I42"/>
      <c r="J42"/>
      <c r="K42"/>
      <c r="L42"/>
    </row>
    <row r="43" spans="1:12" x14ac:dyDescent="0.3">
      <c r="A43" s="13">
        <v>46203</v>
      </c>
      <c r="B43" s="6" t="s">
        <v>6</v>
      </c>
      <c r="C43" s="2" t="s">
        <v>26</v>
      </c>
      <c r="D43" s="2" t="s">
        <v>7</v>
      </c>
      <c r="E43" s="2">
        <v>150</v>
      </c>
      <c r="F43" s="2">
        <v>0.22</v>
      </c>
      <c r="G43" s="7">
        <f>PRODUCT(E43,F43)</f>
        <v>33</v>
      </c>
      <c r="I43"/>
      <c r="J43"/>
      <c r="K43"/>
      <c r="L43"/>
    </row>
    <row r="44" spans="1:12" x14ac:dyDescent="0.3">
      <c r="A44" s="13">
        <v>46203</v>
      </c>
      <c r="B44" s="6" t="s">
        <v>24</v>
      </c>
      <c r="C44" s="2" t="s">
        <v>27</v>
      </c>
      <c r="D44" s="2" t="s">
        <v>7</v>
      </c>
      <c r="E44" s="2">
        <v>98</v>
      </c>
      <c r="F44" s="2">
        <v>0.28999999999999998</v>
      </c>
      <c r="G44" s="7">
        <f t="shared" ref="G44:G45" si="8">PRODUCT(E44,F44)</f>
        <v>28.419999999999998</v>
      </c>
      <c r="I44"/>
      <c r="J44"/>
      <c r="K44"/>
      <c r="L44"/>
    </row>
    <row r="45" spans="1:12" x14ac:dyDescent="0.3">
      <c r="A45" s="13">
        <v>46203</v>
      </c>
      <c r="B45" s="6" t="s">
        <v>28</v>
      </c>
      <c r="C45" s="2" t="s">
        <v>27</v>
      </c>
      <c r="D45" s="2" t="s">
        <v>7</v>
      </c>
      <c r="E45" s="2">
        <v>76</v>
      </c>
      <c r="F45" s="2">
        <v>0.35</v>
      </c>
      <c r="G45" s="7">
        <f t="shared" si="8"/>
        <v>26.599999999999998</v>
      </c>
      <c r="I45"/>
      <c r="J45"/>
      <c r="K45"/>
      <c r="L45"/>
    </row>
    <row r="46" spans="1:12" x14ac:dyDescent="0.3">
      <c r="A46" s="13">
        <v>46203</v>
      </c>
      <c r="B46" s="6" t="s">
        <v>8</v>
      </c>
      <c r="C46" s="2" t="s">
        <v>26</v>
      </c>
      <c r="D46" s="2" t="s">
        <v>7</v>
      </c>
      <c r="E46" s="2">
        <v>160</v>
      </c>
      <c r="F46" s="2">
        <v>0.25</v>
      </c>
      <c r="G46" s="7">
        <f t="shared" ref="G46:G50" si="9">PRODUCT(E46,F46)</f>
        <v>40</v>
      </c>
      <c r="I46"/>
      <c r="J46"/>
      <c r="K46"/>
      <c r="L46"/>
    </row>
    <row r="47" spans="1:12" x14ac:dyDescent="0.3">
      <c r="A47" s="13">
        <v>46203</v>
      </c>
      <c r="B47" s="6" t="s">
        <v>9</v>
      </c>
      <c r="C47" s="2" t="s">
        <v>26</v>
      </c>
      <c r="D47" s="2" t="s">
        <v>10</v>
      </c>
      <c r="E47" s="2">
        <v>80</v>
      </c>
      <c r="F47" s="2">
        <v>0.5</v>
      </c>
      <c r="G47" s="7">
        <f t="shared" si="9"/>
        <v>40</v>
      </c>
      <c r="I47"/>
      <c r="J47"/>
      <c r="K47"/>
      <c r="L47"/>
    </row>
    <row r="48" spans="1:12" x14ac:dyDescent="0.3">
      <c r="A48" s="13">
        <v>46203</v>
      </c>
      <c r="B48" s="6" t="s">
        <v>11</v>
      </c>
      <c r="C48" s="2" t="s">
        <v>26</v>
      </c>
      <c r="D48" s="2" t="s">
        <v>12</v>
      </c>
      <c r="E48" s="2">
        <v>145</v>
      </c>
      <c r="F48" s="2">
        <v>0.28000000000000003</v>
      </c>
      <c r="G48" s="7">
        <f t="shared" si="9"/>
        <v>40.6</v>
      </c>
      <c r="I48"/>
      <c r="J48"/>
      <c r="K48"/>
    </row>
    <row r="49" spans="1:10" x14ac:dyDescent="0.3">
      <c r="A49" s="13">
        <v>46203</v>
      </c>
      <c r="B49" s="6" t="s">
        <v>13</v>
      </c>
      <c r="C49" s="2" t="s">
        <v>26</v>
      </c>
      <c r="D49" s="2" t="s">
        <v>10</v>
      </c>
      <c r="E49" s="2">
        <v>70</v>
      </c>
      <c r="F49" s="2">
        <v>1.5</v>
      </c>
      <c r="G49" s="7">
        <f t="shared" si="9"/>
        <v>105</v>
      </c>
      <c r="J49"/>
    </row>
    <row r="50" spans="1:10" x14ac:dyDescent="0.3">
      <c r="A50" s="20">
        <v>46203</v>
      </c>
      <c r="B50" s="8" t="s">
        <v>14</v>
      </c>
      <c r="C50" s="9" t="s">
        <v>26</v>
      </c>
      <c r="D50" s="9" t="s">
        <v>10</v>
      </c>
      <c r="E50" s="9">
        <v>174</v>
      </c>
      <c r="F50" s="9">
        <v>0.28999999999999998</v>
      </c>
      <c r="G50" s="10">
        <f t="shared" si="9"/>
        <v>50.459999999999994</v>
      </c>
      <c r="J50"/>
    </row>
    <row r="51" spans="1:10" x14ac:dyDescent="0.3">
      <c r="J51"/>
    </row>
    <row r="52" spans="1:10" x14ac:dyDescent="0.3">
      <c r="J52"/>
    </row>
    <row r="53" spans="1:10" x14ac:dyDescent="0.3">
      <c r="J53"/>
    </row>
    <row r="54" spans="1:10" x14ac:dyDescent="0.3">
      <c r="J54"/>
    </row>
    <row r="55" spans="1:10" x14ac:dyDescent="0.3">
      <c r="J55"/>
    </row>
    <row r="56" spans="1:10" x14ac:dyDescent="0.3">
      <c r="J56"/>
    </row>
    <row r="57" spans="1:10" x14ac:dyDescent="0.3">
      <c r="J57"/>
    </row>
    <row r="58" spans="1:10" x14ac:dyDescent="0.3">
      <c r="J58"/>
    </row>
    <row r="59" spans="1:10" x14ac:dyDescent="0.3">
      <c r="J59"/>
    </row>
    <row r="60" spans="1:10" x14ac:dyDescent="0.3">
      <c r="J60"/>
    </row>
    <row r="61" spans="1:10" x14ac:dyDescent="0.3">
      <c r="J61"/>
    </row>
    <row r="62" spans="1:10" x14ac:dyDescent="0.3">
      <c r="J62"/>
    </row>
    <row r="63" spans="1:10" x14ac:dyDescent="0.3">
      <c r="J63"/>
    </row>
    <row r="64" spans="1:10" x14ac:dyDescent="0.3">
      <c r="J64"/>
    </row>
    <row r="65" spans="10:10" x14ac:dyDescent="0.3">
      <c r="J65"/>
    </row>
    <row r="66" spans="10:10" x14ac:dyDescent="0.3">
      <c r="J66"/>
    </row>
    <row r="67" spans="10:10" x14ac:dyDescent="0.3">
      <c r="J67"/>
    </row>
    <row r="68" spans="10:10" x14ac:dyDescent="0.3">
      <c r="J68"/>
    </row>
    <row r="69" spans="10:10" x14ac:dyDescent="0.3">
      <c r="J69"/>
    </row>
    <row r="70" spans="10:10" x14ac:dyDescent="0.3">
      <c r="J70"/>
    </row>
    <row r="71" spans="10:10" x14ac:dyDescent="0.3">
      <c r="J71"/>
    </row>
    <row r="72" spans="10:10" x14ac:dyDescent="0.3">
      <c r="J72"/>
    </row>
    <row r="73" spans="10:10" x14ac:dyDescent="0.3">
      <c r="J73"/>
    </row>
  </sheetData>
  <mergeCells count="6">
    <mergeCell ref="I26:K26"/>
    <mergeCell ref="I27:K27"/>
    <mergeCell ref="I2:R2"/>
    <mergeCell ref="I16:L16"/>
    <mergeCell ref="I23:K23"/>
    <mergeCell ref="I24:K24"/>
  </mergeCells>
  <phoneticPr fontId="4" type="noConversion"/>
  <conditionalFormatting sqref="E1:E1048576">
    <cfRule type="cellIs" dxfId="32" priority="18" operator="equal">
      <formula>40</formula>
    </cfRule>
    <cfRule type="cellIs" dxfId="31" priority="19" operator="equal">
      <formula>190</formula>
    </cfRule>
  </conditionalFormatting>
  <conditionalFormatting sqref="F1:F1048576">
    <cfRule type="cellIs" dxfId="30" priority="20" operator="equal">
      <formula>0.22</formula>
    </cfRule>
    <cfRule type="cellIs" dxfId="29" priority="21" operator="equal">
      <formula>1.5</formula>
    </cfRule>
    <cfRule type="cellIs" dxfId="28" priority="22" operator="equal">
      <formula>1.5</formula>
    </cfRule>
    <cfRule type="top10" priority="23" rank="10"/>
  </conditionalFormatting>
  <conditionalFormatting sqref="G1:G1048576">
    <cfRule type="top10" priority="10" rank="5"/>
    <cfRule type="top10" dxfId="27" priority="11" rank="5"/>
    <cfRule type="top10" dxfId="26" priority="12" rank="5"/>
    <cfRule type="top10" dxfId="25" priority="13" rank="5"/>
    <cfRule type="dataBar" priority="14">
      <dataBar>
        <cfvo type="min"/>
        <cfvo type="max"/>
        <color rgb="FFFFB628"/>
      </dataBar>
      <extLst>
        <ext xmlns:x14="http://schemas.microsoft.com/office/spreadsheetml/2009/9/main" uri="{B025F937-C7B1-47D3-B67F-A62EFF666E3E}">
          <x14:id>{A0C0C0B1-E2FB-4F04-A083-CF1572C9DBEB}</x14:id>
        </ext>
      </extLst>
    </cfRule>
  </conditionalFormatting>
  <conditionalFormatting sqref="H14">
    <cfRule type="top10" dxfId="24" priority="9" rank="5"/>
  </conditionalFormatting>
  <conditionalFormatting pivot="1" sqref="R5 R6 R7 R8 R9 R10">
    <cfRule type="top10" dxfId="23" priority="8" rank="1"/>
  </conditionalFormatting>
  <conditionalFormatting pivot="1" sqref="J6:Q6">
    <cfRule type="top10" dxfId="22" priority="7" rank="1"/>
  </conditionalFormatting>
  <conditionalFormatting pivot="1" sqref="J5:Q5">
    <cfRule type="top10" dxfId="21" priority="6" rank="1"/>
  </conditionalFormatting>
  <conditionalFormatting pivot="1" sqref="J7:Q7">
    <cfRule type="top10" dxfId="20" priority="5" rank="1"/>
  </conditionalFormatting>
  <conditionalFormatting pivot="1" sqref="J8:Q8">
    <cfRule type="top10" dxfId="19" priority="4" rank="1"/>
  </conditionalFormatting>
  <conditionalFormatting pivot="1" sqref="J9:Q9">
    <cfRule type="top10" dxfId="18" priority="3" rank="1"/>
  </conditionalFormatting>
  <conditionalFormatting pivot="1" sqref="J10:Q10">
    <cfRule type="top10" dxfId="17" priority="2" rank="1"/>
  </conditionalFormatting>
  <conditionalFormatting pivot="1" sqref="R5 R6 R7 R8 R9 R10">
    <cfRule type="top10" dxfId="0" priority="1" rank="1"/>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0C0C0B1-E2FB-4F04-A083-CF1572C9DBEB}">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4EDA-6371-4CE2-B5EC-26061B6623CB}">
  <dimension ref="A1"/>
  <sheetViews>
    <sheetView zoomScale="127" workbookViewId="0">
      <selection activeCell="R25" sqref="R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Pharmacy Sales Data</vt:lpstr>
      <vt:lpstr>Pharmacy Sales Visualisation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P</dc:creator>
  <cp:lastModifiedBy>SNEHA P</cp:lastModifiedBy>
  <dcterms:created xsi:type="dcterms:W3CDTF">2026-09-05T12:01:33Z</dcterms:created>
  <dcterms:modified xsi:type="dcterms:W3CDTF">2026-09-05T17:48:05Z</dcterms:modified>
</cp:coreProperties>
</file>