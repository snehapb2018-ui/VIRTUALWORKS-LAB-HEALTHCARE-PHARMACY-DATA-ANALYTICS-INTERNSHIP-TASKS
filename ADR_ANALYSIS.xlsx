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URESH BABU C\Documents\SNEHA\VIRTUAL WORKS LAB INTERNSHIP\DA\"/>
    </mc:Choice>
  </mc:AlternateContent>
  <xr:revisionPtr revIDLastSave="0" documentId="13_ncr:1_{DAE28A20-275F-4421-8728-2555BB91F7F9}" xr6:coauthVersionLast="47" xr6:coauthVersionMax="47" xr10:uidLastSave="{00000000-0000-0000-0000-000000000000}"/>
  <bookViews>
    <workbookView xWindow="-108" yWindow="-108" windowWidth="23256" windowHeight="12456" xr2:uid="{2ABAB03E-A167-4379-AAF6-F7318933FA9C}"/>
  </bookViews>
  <sheets>
    <sheet name="ADR_ANALYSIS" sheetId="1" r:id="rId1"/>
    <sheet name="ADR_ANALYSIS_VISUALIZATION" sheetId="2" r:id="rId2"/>
  </sheets>
  <definedNames>
    <definedName name="Slicer_SUSPECTED_DRUG">#N/A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7" i="1" l="1"/>
  <c r="S6" i="1"/>
  <c r="S5" i="1"/>
  <c r="S4" i="1"/>
  <c r="J26" i="1"/>
  <c r="J25" i="1"/>
  <c r="J24" i="1"/>
  <c r="J23" i="1"/>
  <c r="J22" i="1"/>
  <c r="J21" i="1"/>
  <c r="J20" i="1"/>
  <c r="J19" i="1"/>
  <c r="J18" i="1"/>
  <c r="J17" i="1"/>
  <c r="J16" i="1"/>
  <c r="J15" i="1"/>
  <c r="J14" i="1"/>
  <c r="J13" i="1"/>
  <c r="J12" i="1"/>
  <c r="J11" i="1"/>
  <c r="J10" i="1"/>
  <c r="J9" i="1"/>
  <c r="J8" i="1"/>
  <c r="J7" i="1"/>
  <c r="J6" i="1"/>
  <c r="J5" i="1"/>
  <c r="J4" i="1"/>
  <c r="J3" i="1"/>
  <c r="J2" i="1"/>
  <c r="O10" i="1" a="1"/>
  <c r="O10" i="1" s="1"/>
  <c r="O2" i="1"/>
  <c r="O18" i="1"/>
  <c r="O22" i="1"/>
  <c r="O21" i="1"/>
  <c r="O20" i="1"/>
  <c r="O19" i="1"/>
  <c r="O3" i="1" l="1"/>
  <c r="O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<sst xmlns="http://schemas.openxmlformats.org/spreadsheetml/2006/main" count="219" uniqueCount="76">
  <si>
    <t>REPORT ID</t>
  </si>
  <si>
    <t>AGE</t>
  </si>
  <si>
    <t>GENDER</t>
  </si>
  <si>
    <t>SUSPECTED DRUG</t>
  </si>
  <si>
    <t>ADR</t>
  </si>
  <si>
    <t>ONSET[DAYS]</t>
  </si>
  <si>
    <t>OUTCOME</t>
  </si>
  <si>
    <t>SERIOUS</t>
  </si>
  <si>
    <t>ADR001</t>
  </si>
  <si>
    <t>ADR002</t>
  </si>
  <si>
    <t>ADR003</t>
  </si>
  <si>
    <t>ADR004</t>
  </si>
  <si>
    <t>ADR005</t>
  </si>
  <si>
    <t>ADR006</t>
  </si>
  <si>
    <t>ADR007</t>
  </si>
  <si>
    <t>ADR008</t>
  </si>
  <si>
    <t>ADR009</t>
  </si>
  <si>
    <t>ADR010</t>
  </si>
  <si>
    <t>ADR011</t>
  </si>
  <si>
    <t>ADR012</t>
  </si>
  <si>
    <t>ADR013</t>
  </si>
  <si>
    <t>ADR014</t>
  </si>
  <si>
    <t>ADR015</t>
  </si>
  <si>
    <t>ADR016</t>
  </si>
  <si>
    <t>ADR017</t>
  </si>
  <si>
    <t>ADR018</t>
  </si>
  <si>
    <t>ADR019</t>
  </si>
  <si>
    <t>ADR020</t>
  </si>
  <si>
    <t>ADR021</t>
  </si>
  <si>
    <t>ADR022</t>
  </si>
  <si>
    <t>ADR023</t>
  </si>
  <si>
    <t>ADR024</t>
  </si>
  <si>
    <t>ADR025</t>
  </si>
  <si>
    <t>F</t>
  </si>
  <si>
    <t>M</t>
  </si>
  <si>
    <t>COUNTRY</t>
  </si>
  <si>
    <t>INDIA</t>
  </si>
  <si>
    <t>AUSTRALIA</t>
  </si>
  <si>
    <t>GERMANY</t>
  </si>
  <si>
    <t>JAPAN</t>
  </si>
  <si>
    <t>CANADA</t>
  </si>
  <si>
    <t>AMOXICILLIN</t>
  </si>
  <si>
    <t>DICLOFENAC</t>
  </si>
  <si>
    <t>CARBAMAZEPINE</t>
  </si>
  <si>
    <t>METFORMIN</t>
  </si>
  <si>
    <t>ALLOPURINOL</t>
  </si>
  <si>
    <t>RASH</t>
  </si>
  <si>
    <t>GASTRIC ULCER</t>
  </si>
  <si>
    <t>SJS</t>
  </si>
  <si>
    <t>DIZZINESS</t>
  </si>
  <si>
    <t>LACTIC ACIDOSIS</t>
  </si>
  <si>
    <t>RECOVERED</t>
  </si>
  <si>
    <t>RECOVERING</t>
  </si>
  <si>
    <t>TOTAL ADR REPORTS</t>
  </si>
  <si>
    <t>NUMBER OF SERIOUS ADR REPORTS</t>
  </si>
  <si>
    <t>REPORTING COUNTRIES</t>
  </si>
  <si>
    <t>PERCENTEGE OF SERIOUS ADR</t>
  </si>
  <si>
    <t>Grand Total</t>
  </si>
  <si>
    <t>SYSTEM ORGAN CLASS(SOC)</t>
  </si>
  <si>
    <t>SKIN&amp;SUBCUTANEOUS TISSUE DISORDERS</t>
  </si>
  <si>
    <t>GASTROINTESTINAL DISORDERS</t>
  </si>
  <si>
    <t>NERVOUS SYSTEM DISORDERS</t>
  </si>
  <si>
    <t>METABOLISM AND NUTRITION DISORDERS</t>
  </si>
  <si>
    <t>YES</t>
  </si>
  <si>
    <t>Count of ADR</t>
  </si>
  <si>
    <t>NO</t>
  </si>
  <si>
    <t>Percentage of ADRs</t>
  </si>
  <si>
    <t>Countries</t>
  </si>
  <si>
    <t>NERVOUS SYSTEEM DISORDERS</t>
  </si>
  <si>
    <t>SOC</t>
  </si>
  <si>
    <t>NO. OF REPORTS</t>
  </si>
  <si>
    <t>SOC WISE ADR REPORTING</t>
  </si>
  <si>
    <t xml:space="preserve"> </t>
  </si>
  <si>
    <t>DRUG</t>
  </si>
  <si>
    <t>DRUG WISE SERIOUS/UNSERIOUS ADRs</t>
  </si>
  <si>
    <t xml:space="preserve">COUNTRY-WISE REPORTED PERCENTAGE OF ADRs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</si>
</sst>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theme="1"/>
      <name val="Calibri"/>
      <family val="2"/>
      <scheme val="minor"/>
    </font>
    <font>
      <sz val="8"/>
      <name val="Calibri"/>
      <family val="2"/>
      <scheme val="minor"/>
    </font>
    <font>
      <sz val="20"/>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9" fontId="4" fillId="0" borderId="0" applyFont="0" applyFill="0" applyBorder="0" applyAlignment="0" applyProtection="0"/>
  </cellStyleXfs>
  <cellXfs count="25">
    <xf numFmtId="0" fontId="0" fillId="0" borderId="0" xfId="0"/>
    <xf numFmtId="0" fontId="0" fillId="0" borderId="0" xfId="0" applyAlignment="1">
      <alignment horizontal="left"/>
    </xf>
    <xf numFmtId="0" fontId="1" fillId="0" borderId="2" xfId="0" applyFont="1" applyBorder="1"/>
    <xf numFmtId="0" fontId="0" fillId="3" borderId="0" xfId="0" applyFill="1"/>
    <xf numFmtId="0" fontId="5" fillId="3" borderId="0" xfId="0" applyFont="1" applyFill="1"/>
    <xf numFmtId="0" fontId="0" fillId="2" borderId="1" xfId="0" applyFill="1" applyBorder="1" applyAlignment="1">
      <alignment horizontal="center"/>
    </xf>
    <xf numFmtId="9" fontId="0" fillId="0" borderId="0" xfId="1" applyFont="1"/>
    <xf numFmtId="0" fontId="0" fillId="0" borderId="3" xfId="0" pivotButton="1" applyBorder="1"/>
    <xf numFmtId="0" fontId="0" fillId="0" borderId="3" xfId="0" applyBorder="1" applyAlignment="1">
      <alignment horizontal="left"/>
    </xf>
    <xf numFmtId="0" fontId="5" fillId="0" borderId="1" xfId="0" applyFont="1" applyBorder="1"/>
    <xf numFmtId="9" fontId="5" fillId="0" borderId="1" xfId="0" applyNumberFormat="1" applyFont="1" applyBorder="1"/>
    <xf numFmtId="0" fontId="5" fillId="2" borderId="1" xfId="0" applyFont="1" applyFill="1" applyBorder="1"/>
    <xf numFmtId="0" fontId="0" fillId="0" borderId="1" xfId="0" applyBorder="1"/>
    <xf numFmtId="0" fontId="0" fillId="0" borderId="3" xfId="0" applyBorder="1"/>
    <xf numFmtId="0" fontId="6" fillId="0" borderId="1" xfId="0" applyFont="1" applyBorder="1"/>
    <xf numFmtId="0" fontId="1" fillId="0" borderId="1" xfId="0" applyFont="1" applyBorder="1"/>
    <xf numFmtId="0" fontId="0" fillId="0" borderId="4" xfId="0" pivotButton="1" applyBorder="1"/>
    <xf numFmtId="0" fontId="0" fillId="0" borderId="5" xfId="0" pivotButton="1" applyBorder="1"/>
    <xf numFmtId="0" fontId="0" fillId="0" borderId="6" xfId="0" applyBorder="1"/>
    <xf numFmtId="0" fontId="5" fillId="2" borderId="1" xfId="0" applyFont="1" applyFill="1" applyBorder="1" applyAlignment="1">
      <alignment horizontal="center"/>
    </xf>
    <xf numFmtId="0" fontId="6" fillId="2" borderId="1" xfId="0" applyFont="1" applyFill="1" applyBorder="1" applyAlignment="1">
      <alignment horizontal="center"/>
    </xf>
    <xf numFmtId="0" fontId="5" fillId="4" borderId="1" xfId="0" applyFont="1" applyFill="1" applyBorder="1" applyAlignment="1">
      <alignment horizontal="center"/>
    </xf>
    <xf numFmtId="0" fontId="3" fillId="2" borderId="1" xfId="0" applyFont="1" applyFill="1" applyBorder="1" applyAlignment="1">
      <alignment horizontal="center" vertical="center"/>
    </xf>
    <xf numFmtId="0" fontId="0" fillId="2" borderId="1" xfId="0" applyFill="1" applyBorder="1" applyAlignment="1">
      <alignment horizontal="center" vertical="center"/>
    </xf>
    <xf numFmtId="0" fontId="1" fillId="0" borderId="0" xfId="0" applyFont="1" applyAlignment="1">
      <alignment horizontal="center"/>
    </xf>
  </cellXfs>
  <cellStyles count="2">
    <cellStyle name="Normal" xfId="0" builtinId="0"/>
    <cellStyle name="Percent" xfId="1" builtinId="5"/>
  </cellStyles>
  <dxfs count="19">
    <dxf>
      <font>
        <color rgb="FF9C0006"/>
      </font>
      <fill>
        <patternFill>
          <bgColor rgb="FFFFC7CE"/>
        </patternFill>
      </fill>
    </dxf>
    <dxf>
      <font>
        <color rgb="FF006100"/>
      </font>
      <fill>
        <patternFill>
          <bgColor rgb="FFC6EFCE"/>
        </patternFill>
      </fill>
    </dxf>
    <dxf>
      <font>
        <color rgb="FF006100"/>
      </font>
      <fill>
        <patternFill>
          <bgColor rgb="FFC6EFCE"/>
        </patternFill>
      </fill>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horizontal/>
      </border>
    </dxf>
    <dxf>
      <border>
        <left/>
        <right/>
        <top/>
        <bottom/>
        <horizontal/>
      </border>
    </dxf>
    <dxf>
      <border>
        <left/>
        <right/>
        <top/>
        <bottom/>
        <horizontal/>
      </border>
    </dxf>
    <dxf>
      <border>
        <right style="thin">
          <color indexed="64"/>
        </right>
      </border>
    </dxf>
    <dxf>
      <border>
        <right style="thin">
          <color indexed="64"/>
        </right>
      </border>
    </dxf>
    <dxf>
      <border>
        <right style="thin">
          <color indexed="64"/>
        </right>
      </border>
    </dxf>
    <dxf>
      <border>
        <right style="thin">
          <color indexed="64"/>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[ADR_ANALYSIS.xlsx]ADR_ANALYSIS!PivotTable3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 WISE REPORTED</a:t>
            </a:r>
            <a:r>
              <a:rPr lang="en-US" baseline="0"/>
              <a:t> PERCENTAGE OF ADRs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ADR_ANALYSIS!$N$17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69-49C3-ABF2-71ED995513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69-49C3-ABF2-71ED995513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469-49C3-ABF2-71ED9955137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469-49C3-ABF2-71ED9955137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469-49C3-ABF2-71ED9955137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ADR_ANALYSIS!$M$18:$M$23</c:f>
              <c:strCache>
                <c:ptCount val="5"/>
                <c:pt idx="0">
                  <c:v>AUSTRALIA</c:v>
                </c:pt>
                <c:pt idx="1">
                  <c:v>CANADA</c:v>
                </c:pt>
                <c:pt idx="2">
                  <c:v>GERMANY</c:v>
                </c:pt>
                <c:pt idx="3">
                  <c:v>INDIA</c:v>
                </c:pt>
                <c:pt idx="4">
                  <c:v>JAPAN</c:v>
                </c:pt>
              </c:strCache>
            </c:strRef>
          </c:cat>
          <c:val>
            <c:numRef>
              <c:f>ADR_ANALYSIS!$N$18:$N$23</c:f>
              <c:numCache>
                <c:formatCode>General</c:formatCode>
                <c:ptCount val="5"/>
                <c:pt idx="0">
                  <c:v>6</c:v>
                </c:pt>
                <c:pt idx="1">
                  <c:v>6</c:v>
                </c:pt>
                <c:pt idx="2">
                  <c:v>1</c:v>
                </c:pt>
                <c:pt idx="3">
                  <c:v>8</c:v>
                </c:pt>
                <c:pt idx="4">
                  <c:v>4</c:v>
                </c:pt>
              </c:numCache>
            </c:numRef>
          </c:val>
          <c:extLst>
            <c:ext xmlns:c16="http://schemas.microsoft.com/office/drawing/2014/chart" uri="{C3380CC4-5D6E-409C-BE32-E72D297353CC}">
              <c16:uniqueId val="{0000000A-9469-49C3-ABF2-71ED9955137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SOC</a:t>
            </a:r>
            <a:r>
              <a:rPr lang="en-IN" b="1" baseline="0"/>
              <a:t> WISE ADR REPORTING</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ADR_ANALYSIS!$R$3</c:f>
              <c:strCache>
                <c:ptCount val="1"/>
              </c:strCache>
            </c:strRef>
          </c:tx>
          <c:spPr>
            <a:solidFill>
              <a:schemeClr val="accent1"/>
            </a:solidFill>
            <a:ln>
              <a:noFill/>
            </a:ln>
            <a:effectLst/>
          </c:spPr>
          <c:invertIfNegative val="0"/>
          <c:cat>
            <c:strRef>
              <c:f>ADR_ANALYSIS!$Q$4:$Q$7</c:f>
              <c:strCache>
                <c:ptCount val="4"/>
                <c:pt idx="0">
                  <c:v>SKIN&amp;SUBCUTANEOUS TISSUE DISORDERS</c:v>
                </c:pt>
                <c:pt idx="1">
                  <c:v>GASTROINTESTINAL DISORDERS</c:v>
                </c:pt>
                <c:pt idx="2">
                  <c:v>NERVOUS SYSTEEM DISORDERS</c:v>
                </c:pt>
                <c:pt idx="3">
                  <c:v>METABOLISM AND NUTRITION DISORDERS</c:v>
                </c:pt>
              </c:strCache>
            </c:strRef>
          </c:cat>
          <c:val>
            <c:numRef>
              <c:f>ADR_ANALYSIS!$R$4:$R$7</c:f>
              <c:numCache>
                <c:formatCode>General</c:formatCode>
                <c:ptCount val="4"/>
              </c:numCache>
            </c:numRef>
          </c:val>
          <c:extLst>
            <c:ext xmlns:c16="http://schemas.microsoft.com/office/drawing/2014/chart" uri="{C3380CC4-5D6E-409C-BE32-E72D297353CC}">
              <c16:uniqueId val="{00000000-F8C8-4DA8-B1DF-E5B652C6C1D6}"/>
            </c:ext>
          </c:extLst>
        </c:ser>
        <c:ser>
          <c:idx val="1"/>
          <c:order val="1"/>
          <c:tx>
            <c:strRef>
              <c:f>ADR_ANALYSIS!$S$3</c:f>
              <c:strCache>
                <c:ptCount val="1"/>
                <c:pt idx="0">
                  <c:v>NO. OF REPORTS</c:v>
                </c:pt>
              </c:strCache>
            </c:strRef>
          </c:tx>
          <c:spPr>
            <a:solidFill>
              <a:schemeClr val="accent2"/>
            </a:solidFill>
            <a:ln>
              <a:noFill/>
            </a:ln>
            <a:effectLst/>
          </c:spPr>
          <c:invertIfNegative val="0"/>
          <c:cat>
            <c:strRef>
              <c:f>ADR_ANALYSIS!$Q$4:$Q$7</c:f>
              <c:strCache>
                <c:ptCount val="4"/>
                <c:pt idx="0">
                  <c:v>SKIN&amp;SUBCUTANEOUS TISSUE DISORDERS</c:v>
                </c:pt>
                <c:pt idx="1">
                  <c:v>GASTROINTESTINAL DISORDERS</c:v>
                </c:pt>
                <c:pt idx="2">
                  <c:v>NERVOUS SYSTEEM DISORDERS</c:v>
                </c:pt>
                <c:pt idx="3">
                  <c:v>METABOLISM AND NUTRITION DISORDERS</c:v>
                </c:pt>
              </c:strCache>
            </c:strRef>
          </c:cat>
          <c:val>
            <c:numRef>
              <c:f>ADR_ANALYSIS!$S$4:$S$7</c:f>
              <c:numCache>
                <c:formatCode>General</c:formatCode>
                <c:ptCount val="4"/>
                <c:pt idx="0">
                  <c:v>8</c:v>
                </c:pt>
                <c:pt idx="1">
                  <c:v>8</c:v>
                </c:pt>
                <c:pt idx="2">
                  <c:v>3</c:v>
                </c:pt>
                <c:pt idx="3">
                  <c:v>6</c:v>
                </c:pt>
              </c:numCache>
            </c:numRef>
          </c:val>
          <c:extLst>
            <c:ext xmlns:c16="http://schemas.microsoft.com/office/drawing/2014/chart" uri="{C3380CC4-5D6E-409C-BE32-E72D297353CC}">
              <c16:uniqueId val="{00000001-F8C8-4DA8-B1DF-E5B652C6C1D6}"/>
            </c:ext>
          </c:extLst>
        </c:ser>
        <c:dLbls>
          <c:showLegendKey val="0"/>
          <c:showVal val="0"/>
          <c:showCatName val="0"/>
          <c:showSerName val="0"/>
          <c:showPercent val="0"/>
          <c:showBubbleSize val="0"/>
        </c:dLbls>
        <c:gapWidth val="182"/>
        <c:axId val="1568423344"/>
        <c:axId val="1403255072"/>
      </c:barChart>
      <c:catAx>
        <c:axId val="1568423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255072"/>
        <c:crosses val="autoZero"/>
        <c:auto val="1"/>
        <c:lblAlgn val="ctr"/>
        <c:lblOffset val="100"/>
        <c:noMultiLvlLbl val="0"/>
      </c:catAx>
      <c:valAx>
        <c:axId val="1403255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423344"/>
        <c:crosses val="autoZero"/>
        <c:crossBetween val="between"/>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[ADR_ANALYSIS.xlsx]ADR_ANALYSIS!PivotTable8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DRUG</a:t>
            </a:r>
            <a:r>
              <a:rPr lang="en-IN" b="1" baseline="0"/>
              <a:t> WISE SERIOUS/UNSERIOUS ADRs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ADR_ANALYSIS!$R$17:$R$18</c:f>
              <c:strCache>
                <c:ptCount val="1"/>
                <c:pt idx="0">
                  <c:v>NO</c:v>
                </c:pt>
              </c:strCache>
            </c:strRef>
          </c:tx>
          <c:spPr>
            <a:solidFill>
              <a:schemeClr val="accent1"/>
            </a:solidFill>
            <a:ln>
              <a:noFill/>
            </a:ln>
            <a:effectLst/>
          </c:spPr>
          <c:invertIfNegative val="0"/>
          <c:cat>
            <c:strRef>
              <c:f>ADR_ANALYSIS!$Q$19:$Q$24</c:f>
              <c:strCache>
                <c:ptCount val="5"/>
                <c:pt idx="0">
                  <c:v>ALLOPURINOL</c:v>
                </c:pt>
                <c:pt idx="1">
                  <c:v>AMOXICILLIN</c:v>
                </c:pt>
                <c:pt idx="2">
                  <c:v>CARBAMAZEPINE</c:v>
                </c:pt>
                <c:pt idx="3">
                  <c:v>DICLOFENAC</c:v>
                </c:pt>
                <c:pt idx="4">
                  <c:v>METFORMIN</c:v>
                </c:pt>
              </c:strCache>
            </c:strRef>
          </c:cat>
          <c:val>
            <c:numRef>
              <c:f>ADR_ANALYSIS!$R$19:$R$24</c:f>
              <c:numCache>
                <c:formatCode>General</c:formatCode>
                <c:ptCount val="5"/>
                <c:pt idx="1">
                  <c:v>5</c:v>
                </c:pt>
                <c:pt idx="2">
                  <c:v>3</c:v>
                </c:pt>
              </c:numCache>
            </c:numRef>
          </c:val>
          <c:extLst>
            <c:ext xmlns:c16="http://schemas.microsoft.com/office/drawing/2014/chart" uri="{C3380CC4-5D6E-409C-BE32-E72D297353CC}">
              <c16:uniqueId val="{00000000-7BAF-4139-93DD-2D505C3E9E57}"/>
            </c:ext>
          </c:extLst>
        </c:ser>
        <c:ser>
          <c:idx val="1"/>
          <c:order val="1"/>
          <c:tx>
            <c:strRef>
              <c:f>ADR_ANALYSIS!$S$17:$S$18</c:f>
              <c:strCache>
                <c:ptCount val="1"/>
                <c:pt idx="0">
                  <c:v>YES</c:v>
                </c:pt>
              </c:strCache>
            </c:strRef>
          </c:tx>
          <c:spPr>
            <a:solidFill>
              <a:schemeClr val="accent2"/>
            </a:solidFill>
            <a:ln>
              <a:noFill/>
            </a:ln>
            <a:effectLst/>
          </c:spPr>
          <c:invertIfNegative val="0"/>
          <c:cat>
            <c:strRef>
              <c:f>ADR_ANALYSIS!$Q$19:$Q$24</c:f>
              <c:strCache>
                <c:ptCount val="5"/>
                <c:pt idx="0">
                  <c:v>ALLOPURINOL</c:v>
                </c:pt>
                <c:pt idx="1">
                  <c:v>AMOXICILLIN</c:v>
                </c:pt>
                <c:pt idx="2">
                  <c:v>CARBAMAZEPINE</c:v>
                </c:pt>
                <c:pt idx="3">
                  <c:v>DICLOFENAC</c:v>
                </c:pt>
                <c:pt idx="4">
                  <c:v>METFORMIN</c:v>
                </c:pt>
              </c:strCache>
            </c:strRef>
          </c:cat>
          <c:val>
            <c:numRef>
              <c:f>ADR_ANALYSIS!$S$19:$S$24</c:f>
              <c:numCache>
                <c:formatCode>General</c:formatCode>
                <c:ptCount val="5"/>
                <c:pt idx="0">
                  <c:v>3</c:v>
                </c:pt>
                <c:pt idx="3">
                  <c:v>8</c:v>
                </c:pt>
                <c:pt idx="4">
                  <c:v>6</c:v>
                </c:pt>
              </c:numCache>
            </c:numRef>
          </c:val>
          <c:extLst>
            <c:ext xmlns:c16="http://schemas.microsoft.com/office/drawing/2014/chart" uri="{C3380CC4-5D6E-409C-BE32-E72D297353CC}">
              <c16:uniqueId val="{00000007-7BAF-4139-93DD-2D505C3E9E57}"/>
            </c:ext>
          </c:extLst>
        </c:ser>
        <c:dLbls>
          <c:showLegendKey val="0"/>
          <c:showVal val="0"/>
          <c:showCatName val="0"/>
          <c:showSerName val="0"/>
          <c:showPercent val="0"/>
          <c:showBubbleSize val="0"/>
        </c:dLbls>
        <c:gapWidth val="219"/>
        <c:overlap val="-27"/>
        <c:axId val="1502538032"/>
        <c:axId val="1565971040"/>
      </c:barChart>
      <c:catAx>
        <c:axId val="150253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971040"/>
        <c:crosses val="autoZero"/>
        <c:auto val="1"/>
        <c:lblAlgn val="ctr"/>
        <c:lblOffset val="100"/>
        <c:noMultiLvlLbl val="0"/>
      </c:catAx>
      <c:valAx>
        <c:axId val="1565971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53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7</xdr:col>
      <xdr:colOff>579120</xdr:colOff>
      <xdr:row>16</xdr:row>
      <xdr:rowOff>38100</xdr:rowOff>
    </xdr:to>
    <xdr:graphicFrame macro="">
      <xdr:nvGraphicFramePr>
        <xdr:cNvPr id="5" name="Chart 4">
          <a:extLst>
            <a:ext uri="{FF2B5EF4-FFF2-40B4-BE49-F238E27FC236}">
              <a16:creationId xmlns:a16="http://schemas.microsoft.com/office/drawing/2014/main" id="{52F25DD6-FBD1-444F-8335-5A8DF0C91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0</xdr:row>
      <xdr:rowOff>167640</xdr:rowOff>
    </xdr:from>
    <xdr:to>
      <xdr:col>16</xdr:col>
      <xdr:colOff>266700</xdr:colOff>
      <xdr:row>15</xdr:row>
      <xdr:rowOff>167640</xdr:rowOff>
    </xdr:to>
    <xdr:graphicFrame macro="">
      <xdr:nvGraphicFramePr>
        <xdr:cNvPr id="6" name="Chart 5">
          <a:extLst>
            <a:ext uri="{FF2B5EF4-FFF2-40B4-BE49-F238E27FC236}">
              <a16:creationId xmlns:a16="http://schemas.microsoft.com/office/drawing/2014/main" id="{D3A20272-D29A-4004-ACBB-7F680CA41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19</xdr:row>
      <xdr:rowOff>0</xdr:rowOff>
    </xdr:from>
    <xdr:to>
      <xdr:col>8</xdr:col>
      <xdr:colOff>304800</xdr:colOff>
      <xdr:row>34</xdr:row>
      <xdr:rowOff>0</xdr:rowOff>
    </xdr:to>
    <xdr:graphicFrame macro="">
      <xdr:nvGraphicFramePr>
        <xdr:cNvPr id="10" name="Chart 9">
          <a:extLst>
            <a:ext uri="{FF2B5EF4-FFF2-40B4-BE49-F238E27FC236}">
              <a16:creationId xmlns:a16="http://schemas.microsoft.com/office/drawing/2014/main" id="{3A359933-4F88-4101-B4F9-394742073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594360</xdr:colOff>
      <xdr:row>18</xdr:row>
      <xdr:rowOff>152400</xdr:rowOff>
    </xdr:from>
    <xdr:to>
      <xdr:col>11</xdr:col>
      <xdr:colOff>594360</xdr:colOff>
      <xdr:row>33</xdr:row>
      <xdr:rowOff>121920</xdr:rowOff>
    </xdr:to>
    <mc:AlternateContent xmlns:mc="http://schemas.openxmlformats.org/markup-compatibility/2006" xmlns:a14="http://schemas.microsoft.com/office/drawing/2010/main">
      <mc:Choice Requires="a14">
        <xdr:graphicFrame macro="">
          <xdr:nvGraphicFramePr>
            <xdr:cNvPr id="12" name="SUSPECTED DRUG">
              <a:extLst>
                <a:ext uri="{FF2B5EF4-FFF2-40B4-BE49-F238E27FC236}">
                  <a16:creationId xmlns:a16="http://schemas.microsoft.com/office/drawing/2014/main" id="{F25660FD-E6E0-A68B-45E0-3CCB2DAC751E}"/>
                </a:ext>
              </a:extLst>
            </xdr:cNvPr>
            <xdr:cNvGraphicFramePr/>
          </xdr:nvGraphicFramePr>
          <xdr:xfrm>
            <a:off x="0" y="0"/>
            <a:ext cx="0" cy="0"/>
          </xdr:xfrm>
          <a:graphic>
            <a:graphicData uri="http://schemas.microsoft.com/office/drawing/2010/slicer">
              <sle:slicer xmlns:sle="http://schemas.microsoft.com/office/drawing/2010/slicer" name="SUSPECTED DRUG"/>
            </a:graphicData>
          </a:graphic>
        </xdr:graphicFrame>
      </mc:Choice>
      <mc:Fallback xmlns="">
        <xdr:sp macro="" textlink="">
          <xdr:nvSpPr>
            <xdr:cNvPr id="0" name=""/>
            <xdr:cNvSpPr>
              <a:spLocks noTextEdit="1"/>
            </xdr:cNvSpPr>
          </xdr:nvSpPr>
          <xdr:spPr>
            <a:xfrm>
              <a:off x="5439898" y="3493477"/>
              <a:ext cx="1817077" cy="2753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SH BABU C" refreshedDate="46271.615084027777" createdVersion="8" refreshedVersion="8" minRefreshableVersion="3" recordCount="25" xr:uid="{94F4672B-FA46-4212-9F8B-23D2441AE475}">
  <cacheSource type="worksheet">
    <worksheetSource ref="A1:J26" sheet="ADR_ANALYSIS"/>
  </cacheSource>
  <cacheFields count="10">
    <cacheField name="REPORT ID" numFmtId="0">
      <sharedItems count="25">
        <s v="ADR001"/>
        <s v="ADR002"/>
        <s v="ADR003"/>
        <s v="ADR004"/>
        <s v="ADR005"/>
        <s v="ADR006"/>
        <s v="ADR007"/>
        <s v="ADR008"/>
        <s v="ADR009"/>
        <s v="ADR010"/>
        <s v="ADR011"/>
        <s v="ADR012"/>
        <s v="ADR013"/>
        <s v="ADR014"/>
        <s v="ADR015"/>
        <s v="ADR016"/>
        <s v="ADR017"/>
        <s v="ADR018"/>
        <s v="ADR019"/>
        <s v="ADR020"/>
        <s v="ADR021"/>
        <s v="ADR022"/>
        <s v="ADR023"/>
        <s v="ADR024"/>
        <s v="ADR025"/>
      </sharedItems>
    </cacheField>
    <cacheField name="COUNTRY" numFmtId="0">
      <sharedItems count="5">
        <s v="INDIA"/>
        <s v="AUSTRALIA"/>
        <s v="GERMANY"/>
        <s v="JAPAN"/>
        <s v="CANADA"/>
      </sharedItems>
    </cacheField>
    <cacheField name="AGE" numFmtId="0">
      <sharedItems containsSemiMixedTypes="0" containsString="0" containsNumber="1" containsInteger="1" minValue="20" maxValue="70"/>
    </cacheField>
    <cacheField name="GENDER" numFmtId="0">
      <sharedItems/>
    </cacheField>
    <cacheField name="SUSPECTED DRUG" numFmtId="0">
      <sharedItems count="5">
        <s v="AMOXICILLIN"/>
        <s v="DICLOFENAC"/>
        <s v="CARBAMAZEPINE"/>
        <s v="METFORMIN"/>
        <s v="ALLOPURINOL"/>
      </sharedItems>
    </cacheField>
    <cacheField name="ADR" numFmtId="0">
      <sharedItems count="5">
        <s v="RASH"/>
        <s v="GASTRIC ULCER"/>
        <s v="DIZZINESS"/>
        <s v="LACTIC ACIDOSIS"/>
        <s v="SJS"/>
      </sharedItems>
    </cacheField>
    <cacheField name="SYSTEM ORGAN CLASS(SOC)" numFmtId="0">
      <sharedItems/>
    </cacheField>
    <cacheField name="ONSET[DAYS]" numFmtId="0">
      <sharedItems containsSemiMixedTypes="0" containsString="0" containsNumber="1" containsInteger="1" minValue="2" maxValue="10"/>
    </cacheField>
    <cacheField name="OUTCOME" numFmtId="0">
      <sharedItems/>
    </cacheField>
    <cacheField name="SERIOUS" numFmtId="0">
      <sharedItems count="2">
        <s v="NO"/>
        <s v="YES"/>
      </sharedItems>
    </cacheField>
  </cacheFields>
  <extLst>
    <ext xmlns:x14="http://schemas.microsoft.com/office/spreadsheetml/2009/9/main" uri="{725AE2AE-9491-48be-B2B4-4EB974FC3084}">
      <x14:pivotCacheDefinition pivotCacheId="8084726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n v="45"/>
    <s v="F"/>
    <x v="0"/>
    <x v="0"/>
    <s v="SKIN&amp;SUBCUTANEOUS TISSUE DISORDERS"/>
    <n v="2"/>
    <s v="RECOVERED"/>
    <x v="0"/>
  </r>
  <r>
    <x v="1"/>
    <x v="1"/>
    <n v="55"/>
    <s v="M"/>
    <x v="1"/>
    <x v="1"/>
    <s v="GASTROINTESTINAL DISORDERS"/>
    <n v="5"/>
    <s v="RECOVERED"/>
    <x v="1"/>
  </r>
  <r>
    <x v="2"/>
    <x v="2"/>
    <n v="66"/>
    <s v="F"/>
    <x v="2"/>
    <x v="2"/>
    <s v="NERVOUS SYSTEM DISORDERS"/>
    <n v="2"/>
    <s v="RECOVERING"/>
    <x v="0"/>
  </r>
  <r>
    <x v="3"/>
    <x v="0"/>
    <n v="70"/>
    <s v="F"/>
    <x v="3"/>
    <x v="3"/>
    <s v="METABOLISM AND NUTRITION DISORDERS"/>
    <n v="7"/>
    <s v="RECOVERED"/>
    <x v="1"/>
  </r>
  <r>
    <x v="4"/>
    <x v="3"/>
    <n v="34"/>
    <s v="F"/>
    <x v="0"/>
    <x v="0"/>
    <s v="SKIN&amp;SUBCUTANEOUS TISSUE DISORDERS"/>
    <n v="2"/>
    <s v="RECOVERED"/>
    <x v="0"/>
  </r>
  <r>
    <x v="5"/>
    <x v="4"/>
    <n v="20"/>
    <s v="M"/>
    <x v="0"/>
    <x v="0"/>
    <s v="SKIN&amp;SUBCUTANEOUS TISSUE DISORDERS"/>
    <n v="2"/>
    <s v="RECOVERED"/>
    <x v="0"/>
  </r>
  <r>
    <x v="6"/>
    <x v="1"/>
    <n v="22"/>
    <s v="F"/>
    <x v="1"/>
    <x v="1"/>
    <s v="GASTROINTESTINAL DISORDERS"/>
    <n v="5"/>
    <s v="RECOVERED"/>
    <x v="1"/>
  </r>
  <r>
    <x v="7"/>
    <x v="3"/>
    <n v="34"/>
    <s v="M"/>
    <x v="1"/>
    <x v="1"/>
    <s v="GASTROINTESTINAL DISORDERS"/>
    <n v="5"/>
    <s v="RECOVERED"/>
    <x v="1"/>
  </r>
  <r>
    <x v="8"/>
    <x v="0"/>
    <n v="32"/>
    <s v="F"/>
    <x v="1"/>
    <x v="1"/>
    <s v="GASTROINTESTINAL DISORDERS"/>
    <n v="5"/>
    <s v="RECOVERED"/>
    <x v="1"/>
  </r>
  <r>
    <x v="9"/>
    <x v="0"/>
    <n v="22"/>
    <s v="F"/>
    <x v="1"/>
    <x v="1"/>
    <s v="GASTROINTESTINAL DISORDERS"/>
    <n v="5"/>
    <s v="RECOVERED"/>
    <x v="1"/>
  </r>
  <r>
    <x v="10"/>
    <x v="0"/>
    <n v="26"/>
    <s v="F"/>
    <x v="0"/>
    <x v="0"/>
    <s v="SKIN&amp;SUBCUTANEOUS TISSUE DISORDERS"/>
    <n v="2"/>
    <s v="RECOVERED"/>
    <x v="0"/>
  </r>
  <r>
    <x v="11"/>
    <x v="0"/>
    <n v="28"/>
    <s v="M"/>
    <x v="0"/>
    <x v="0"/>
    <s v="SKIN&amp;SUBCUTANEOUS TISSUE DISORDERS"/>
    <n v="2"/>
    <s v="RECOVERED"/>
    <x v="0"/>
  </r>
  <r>
    <x v="12"/>
    <x v="0"/>
    <n v="45"/>
    <s v="M"/>
    <x v="4"/>
    <x v="4"/>
    <s v="SKIN&amp;SUBCUTANEOUS TISSUE DISORDERS"/>
    <n v="10"/>
    <s v="RECOVERING"/>
    <x v="1"/>
  </r>
  <r>
    <x v="13"/>
    <x v="0"/>
    <n v="40"/>
    <s v="M"/>
    <x v="4"/>
    <x v="4"/>
    <s v="SKIN&amp;SUBCUTANEOUS TISSUE DISORDERS"/>
    <n v="10"/>
    <s v="RECOVERING"/>
    <x v="1"/>
  </r>
  <r>
    <x v="14"/>
    <x v="3"/>
    <n v="55"/>
    <s v="F"/>
    <x v="4"/>
    <x v="4"/>
    <s v="SKIN&amp;SUBCUTANEOUS TISSUE DISORDERS"/>
    <n v="10"/>
    <s v="RECOVERING"/>
    <x v="1"/>
  </r>
  <r>
    <x v="15"/>
    <x v="3"/>
    <n v="36"/>
    <s v="F"/>
    <x v="1"/>
    <x v="1"/>
    <s v="GASTROINTESTINAL DISORDERS"/>
    <n v="5"/>
    <s v="RECOVERED"/>
    <x v="1"/>
  </r>
  <r>
    <x v="16"/>
    <x v="1"/>
    <n v="39"/>
    <s v="M"/>
    <x v="1"/>
    <x v="1"/>
    <s v="GASTROINTESTINAL DISORDERS"/>
    <n v="5"/>
    <s v="RECOVERED"/>
    <x v="1"/>
  </r>
  <r>
    <x v="17"/>
    <x v="1"/>
    <n v="44"/>
    <s v="M"/>
    <x v="1"/>
    <x v="1"/>
    <s v="GASTROINTESTINAL DISORDERS"/>
    <n v="5"/>
    <s v="RECOVERED"/>
    <x v="1"/>
  </r>
  <r>
    <x v="18"/>
    <x v="1"/>
    <n v="43"/>
    <s v="F"/>
    <x v="2"/>
    <x v="2"/>
    <s v="NERVOUS SYSTEM DISORDERS"/>
    <n v="2"/>
    <s v="RECOVERING"/>
    <x v="0"/>
  </r>
  <r>
    <x v="19"/>
    <x v="1"/>
    <n v="32"/>
    <s v="M"/>
    <x v="2"/>
    <x v="2"/>
    <s v="NERVOUS SYSTEM DISORDERS"/>
    <n v="2"/>
    <s v="RECOVERING"/>
    <x v="0"/>
  </r>
  <r>
    <x v="20"/>
    <x v="4"/>
    <n v="38"/>
    <s v="M"/>
    <x v="3"/>
    <x v="3"/>
    <s v="METABOLISM AND NUTRITION DISORDERS"/>
    <n v="7"/>
    <s v="RECOVERED"/>
    <x v="1"/>
  </r>
  <r>
    <x v="21"/>
    <x v="4"/>
    <n v="47"/>
    <s v="F"/>
    <x v="3"/>
    <x v="3"/>
    <s v="METABOLISM AND NUTRITION DISORDERS"/>
    <n v="7"/>
    <s v="RECOVERED"/>
    <x v="1"/>
  </r>
  <r>
    <x v="22"/>
    <x v="4"/>
    <n v="45"/>
    <s v="F"/>
    <x v="3"/>
    <x v="3"/>
    <s v="METABOLISM AND NUTRITION DISORDERS"/>
    <n v="7"/>
    <s v="RECOVERED"/>
    <x v="1"/>
  </r>
  <r>
    <x v="23"/>
    <x v="4"/>
    <n v="55"/>
    <s v="F"/>
    <x v="3"/>
    <x v="3"/>
    <s v="METABOLISM AND NUTRITION DISORDERS"/>
    <n v="7"/>
    <s v="RECOVERED"/>
    <x v="1"/>
  </r>
  <r>
    <x v="24"/>
    <x v="4"/>
    <n v="53"/>
    <s v="M"/>
    <x v="3"/>
    <x v="3"/>
    <s v="METABOLISM AND NUTRITION DISORDERS"/>
    <n v="7"/>
    <s v="RECOVERED"/>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F0E0EA-41AE-4E3F-BA26-9676B2DD153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ountries">
  <location ref="M17:N23" firstHeaderRow="1" firstDataRow="1" firstDataCol="1"/>
  <pivotFields count="1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6">
        <item x="1"/>
        <item x="4"/>
        <item x="2"/>
        <item x="0"/>
        <item x="3"/>
        <item t="default"/>
      </items>
    </pivotField>
    <pivotField showAll="0"/>
    <pivotField showAll="0"/>
    <pivotField showAll="0"/>
    <pivotField dataField="1" showAll="0">
      <items count="6">
        <item x="2"/>
        <item x="1"/>
        <item x="3"/>
        <item x="0"/>
        <item x="4"/>
        <item t="default"/>
      </items>
    </pivotField>
    <pivotField showAll="0"/>
    <pivotField showAll="0"/>
    <pivotField showAll="0"/>
    <pivotField showAll="0">
      <items count="3">
        <item x="0"/>
        <item x="1"/>
        <item t="default"/>
      </items>
    </pivotField>
  </pivotFields>
  <rowFields count="1">
    <field x="1"/>
  </rowFields>
  <rowItems count="6">
    <i>
      <x/>
    </i>
    <i>
      <x v="1"/>
    </i>
    <i>
      <x v="2"/>
    </i>
    <i>
      <x v="3"/>
    </i>
    <i>
      <x v="4"/>
    </i>
    <i t="grand">
      <x/>
    </i>
  </rowItems>
  <colItems count="1">
    <i/>
  </colItems>
  <dataFields count="1">
    <dataField name="Count of ADR" fld="5" subtotal="count" baseField="0" baseItem="0"/>
  </dataFields>
  <formats count="3">
    <format dxfId="5">
      <pivotArea field="1" type="button" dataOnly="0" labelOnly="1" outline="0" axis="axisRow" fieldPosition="0"/>
    </format>
    <format dxfId="4">
      <pivotArea dataOnly="0" labelOnly="1" fieldPosition="0">
        <references count="1">
          <reference field="1" count="0"/>
        </references>
      </pivotArea>
    </format>
    <format dxfId="3">
      <pivotArea dataOnly="0" labelOnly="1" grandRow="1" outline="0" fieldPosition="0"/>
    </format>
  </formats>
  <chartFormats count="6">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1" count="1" selected="0">
            <x v="0"/>
          </reference>
        </references>
      </pivotArea>
    </chartFormat>
    <chartFormat chart="12" format="9">
      <pivotArea type="data" outline="0" fieldPosition="0">
        <references count="2">
          <reference field="4294967294" count="1" selected="0">
            <x v="0"/>
          </reference>
          <reference field="1" count="1" selected="0">
            <x v="1"/>
          </reference>
        </references>
      </pivotArea>
    </chartFormat>
    <chartFormat chart="12" format="10">
      <pivotArea type="data" outline="0" fieldPosition="0">
        <references count="2">
          <reference field="4294967294" count="1" selected="0">
            <x v="0"/>
          </reference>
          <reference field="1" count="1" selected="0">
            <x v="2"/>
          </reference>
        </references>
      </pivotArea>
    </chartFormat>
    <chartFormat chart="12" format="11">
      <pivotArea type="data" outline="0" fieldPosition="0">
        <references count="2">
          <reference field="4294967294" count="1" selected="0">
            <x v="0"/>
          </reference>
          <reference field="1" count="1" selected="0">
            <x v="3"/>
          </reference>
        </references>
      </pivotArea>
    </chartFormat>
    <chartFormat chart="12"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C899F4-6CD8-4ECD-B646-CF5AF690830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RUG" colHeaderCaption=" ">
  <location ref="Q17:T24" firstHeaderRow="1" firstDataRow="2" firstDataCol="1"/>
  <pivotFields count="10">
    <pivotField showAll="0"/>
    <pivotField showAll="0"/>
    <pivotField showAll="0"/>
    <pivotField showAll="0"/>
    <pivotField axis="axisRow" showAll="0">
      <items count="6">
        <item x="4"/>
        <item x="0"/>
        <item x="2"/>
        <item x="1"/>
        <item x="3"/>
        <item t="default"/>
      </items>
    </pivotField>
    <pivotField dataField="1" showAll="0"/>
    <pivotField showAll="0"/>
    <pivotField showAll="0"/>
    <pivotField showAll="0"/>
    <pivotField axis="axisCol" showAll="0">
      <items count="3">
        <item x="0"/>
        <item x="1"/>
        <item t="default"/>
      </items>
    </pivotField>
  </pivotFields>
  <rowFields count="1">
    <field x="4"/>
  </rowFields>
  <rowItems count="6">
    <i>
      <x/>
    </i>
    <i>
      <x v="1"/>
    </i>
    <i>
      <x v="2"/>
    </i>
    <i>
      <x v="3"/>
    </i>
    <i>
      <x v="4"/>
    </i>
    <i t="grand">
      <x/>
    </i>
  </rowItems>
  <colFields count="1">
    <field x="9"/>
  </colFields>
  <colItems count="3">
    <i>
      <x/>
    </i>
    <i>
      <x v="1"/>
    </i>
    <i t="grand">
      <x/>
    </i>
  </colItems>
  <dataFields count="1">
    <dataField name=" " fld="5" subtotal="count" baseField="0" baseItem="0"/>
  </dataFields>
  <formats count="13">
    <format dxfId="18">
      <pivotArea type="origin" dataOnly="0" labelOnly="1" outline="0" fieldPosition="0"/>
    </format>
    <format dxfId="17">
      <pivotArea field="4" type="button" dataOnly="0" labelOnly="1" outline="0" axis="axisRow" fieldPosition="0"/>
    </format>
    <format dxfId="16">
      <pivotArea dataOnly="0" labelOnly="1" fieldPosition="0">
        <references count="1">
          <reference field="4" count="0"/>
        </references>
      </pivotArea>
    </format>
    <format dxfId="15">
      <pivotArea dataOnly="0" labelOnly="1" grandRow="1" outline="0" fieldPosition="0"/>
    </format>
    <format dxfId="14">
      <pivotArea outline="0" collapsedLevelsAreSubtotals="1" fieldPosition="0">
        <references count="1">
          <reference field="9" count="1" selected="0">
            <x v="1"/>
          </reference>
        </references>
      </pivotArea>
    </format>
    <format dxfId="13">
      <pivotArea type="topRight" dataOnly="0" labelOnly="1" outline="0" offset="A1" fieldPosition="0"/>
    </format>
    <format dxfId="12">
      <pivotArea dataOnly="0" labelOnly="1" fieldPosition="0">
        <references count="1">
          <reference field="9" count="1">
            <x v="1"/>
          </reference>
        </references>
      </pivotArea>
    </format>
    <format dxfId="11">
      <pivotArea outline="0" collapsedLevelsAreSubtotals="1" fieldPosition="0">
        <references count="1">
          <reference field="9" count="1" selected="0">
            <x v="1"/>
          </reference>
        </references>
      </pivotArea>
    </format>
    <format dxfId="10">
      <pivotArea type="topRight" dataOnly="0" labelOnly="1" outline="0" offset="A1" fieldPosition="0"/>
    </format>
    <format dxfId="9">
      <pivotArea dataOnly="0" labelOnly="1" fieldPosition="0">
        <references count="1">
          <reference field="9" count="1">
            <x v="1"/>
          </reference>
        </references>
      </pivotArea>
    </format>
    <format dxfId="8">
      <pivotArea outline="0" collapsedLevelsAreSubtotals="1" fieldPosition="0">
        <references count="1">
          <reference field="9" count="1" selected="0">
            <x v="0"/>
          </reference>
        </references>
      </pivotArea>
    </format>
    <format dxfId="7">
      <pivotArea field="9" type="button" dataOnly="0" labelOnly="1" outline="0" axis="axisCol" fieldPosition="0"/>
    </format>
    <format dxfId="6">
      <pivotArea dataOnly="0" labelOnly="1" fieldPosition="0">
        <references count="1">
          <reference field="9" count="1">
            <x v="0"/>
          </reference>
        </references>
      </pivotArea>
    </format>
  </formats>
  <chartFormats count="8">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 chart="4" format="0" series="1">
      <pivotArea type="data" outline="0" fieldPosition="0">
        <references count="2">
          <reference field="4294967294" count="1" selected="0">
            <x v="0"/>
          </reference>
          <reference field="9" count="1" selected="0">
            <x v="0"/>
          </reference>
        </references>
      </pivotArea>
    </chartFormat>
    <chartFormat chart="4" format="1" series="1">
      <pivotArea type="data" outline="0" fieldPosition="0">
        <references count="2">
          <reference field="4294967294" count="1" selected="0">
            <x v="0"/>
          </reference>
          <reference field="9" count="1" selected="0">
            <x v="1"/>
          </reference>
        </references>
      </pivotArea>
    </chartFormat>
    <chartFormat chart="7" format="4" series="1">
      <pivotArea type="data" outline="0" fieldPosition="0">
        <references count="2">
          <reference field="4294967294" count="1" selected="0">
            <x v="0"/>
          </reference>
          <reference field="9" count="1" selected="0">
            <x v="0"/>
          </reference>
        </references>
      </pivotArea>
    </chartFormat>
    <chartFormat chart="7"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SPECTED_DRUG" xr10:uid="{0958F519-34A1-4D7B-94E6-9C0640D3153B}" sourceName="SUSPECTED DRUG">
  <pivotTables>
    <pivotTable tabId="1" name="PivotTable8"/>
  </pivotTables>
  <data>
    <tabular pivotCacheId="808472682">
      <items count="5">
        <i x="4" s="1"/>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SPECTED DRUG" xr10:uid="{AB760BD5-A6FA-4A17-936A-9BDDCAD4E97E}" cache="Slicer_SUSPECTED_DRUG" caption="SUSPECTED DRUG"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28AE6-30F6-4A8C-96C8-1FE1BF5868D2}">
  <dimension ref="A1:T28"/>
  <sheetViews>
    <sheetView tabSelected="1" topLeftCell="I1" workbookViewId="0">
      <selection activeCell="M16" sqref="M16"/>
    </sheetView>
  </sheetViews>
  <sheetFormatPr defaultRowHeight="14.4" x14ac:dyDescent="0.3"/>
  <cols>
    <col min="1" max="1" width="15.21875" bestFit="1" customWidth="1"/>
    <col min="2" max="2" width="12.33203125" customWidth="1"/>
    <col min="3" max="3" width="6.21875" customWidth="1"/>
    <col min="4" max="4" width="10.77734375" bestFit="1" customWidth="1"/>
    <col min="5" max="5" width="22.5546875" customWidth="1"/>
    <col min="6" max="6" width="17.109375" customWidth="1"/>
    <col min="7" max="7" width="39.77734375" customWidth="1"/>
    <col min="8" max="8" width="18.21875" customWidth="1"/>
    <col min="9" max="9" width="16.6640625" customWidth="1"/>
    <col min="10" max="10" width="13" customWidth="1"/>
    <col min="13" max="13" width="11.21875" bestFit="1" customWidth="1"/>
    <col min="14" max="14" width="33.21875" customWidth="1"/>
    <col min="15" max="15" width="19.6640625" customWidth="1"/>
    <col min="16" max="16" width="10.77734375" bestFit="1" customWidth="1"/>
    <col min="17" max="17" width="34" customWidth="1"/>
    <col min="18" max="18" width="5.77734375" customWidth="1"/>
    <col min="19" max="19" width="18.77734375" customWidth="1"/>
    <col min="20" max="20" width="10.77734375" bestFit="1" customWidth="1"/>
  </cols>
  <sheetData>
    <row r="1" spans="1:20" ht="18" x14ac:dyDescent="0.35">
      <c r="A1" s="2" t="s">
        <v>0</v>
      </c>
      <c r="B1" s="2" t="s">
        <v>35</v>
      </c>
      <c r="C1" s="2" t="s">
        <v>1</v>
      </c>
      <c r="D1" s="2" t="s">
        <v>2</v>
      </c>
      <c r="E1" s="2" t="s">
        <v>3</v>
      </c>
      <c r="F1" s="2" t="s">
        <v>4</v>
      </c>
      <c r="G1" s="2" t="s">
        <v>58</v>
      </c>
      <c r="H1" s="2" t="s">
        <v>5</v>
      </c>
      <c r="I1" s="2" t="s">
        <v>6</v>
      </c>
      <c r="J1" s="2" t="s">
        <v>7</v>
      </c>
      <c r="K1" s="13"/>
    </row>
    <row r="2" spans="1:20" ht="21" x14ac:dyDescent="0.4">
      <c r="A2" t="s">
        <v>8</v>
      </c>
      <c r="B2" t="s">
        <v>36</v>
      </c>
      <c r="C2">
        <v>45</v>
      </c>
      <c r="D2" t="s">
        <v>33</v>
      </c>
      <c r="E2" t="s">
        <v>41</v>
      </c>
      <c r="F2" t="s">
        <v>46</v>
      </c>
      <c r="G2" t="s">
        <v>59</v>
      </c>
      <c r="H2">
        <v>2</v>
      </c>
      <c r="I2" t="s">
        <v>51</v>
      </c>
      <c r="J2" t="str">
        <f t="shared" ref="J2:J26" si="0">IF(H2&lt;&gt;2, "YES", "NO")</f>
        <v>NO</v>
      </c>
      <c r="K2" s="13"/>
      <c r="M2" s="21" t="s">
        <v>53</v>
      </c>
      <c r="N2" s="21"/>
      <c r="O2" s="9">
        <f>COUNTA(A2:A26)</f>
        <v>25</v>
      </c>
      <c r="Q2" s="20" t="s">
        <v>71</v>
      </c>
      <c r="R2" s="20"/>
      <c r="S2" s="20"/>
    </row>
    <row r="3" spans="1:20" x14ac:dyDescent="0.3">
      <c r="A3" t="s">
        <v>9</v>
      </c>
      <c r="B3" t="s">
        <v>37</v>
      </c>
      <c r="C3">
        <v>55</v>
      </c>
      <c r="D3" t="s">
        <v>34</v>
      </c>
      <c r="E3" t="s">
        <v>42</v>
      </c>
      <c r="F3" t="s">
        <v>47</v>
      </c>
      <c r="G3" t="s">
        <v>60</v>
      </c>
      <c r="H3">
        <v>5</v>
      </c>
      <c r="I3" t="s">
        <v>51</v>
      </c>
      <c r="J3" t="str">
        <f t="shared" si="0"/>
        <v>YES</v>
      </c>
      <c r="K3" s="13"/>
      <c r="M3" s="21" t="s">
        <v>54</v>
      </c>
      <c r="N3" s="21"/>
      <c r="O3" s="9">
        <f>COUNTIF(J2:J26,"YES")</f>
        <v>17</v>
      </c>
      <c r="Q3" s="19" t="s">
        <v>69</v>
      </c>
      <c r="R3" s="19"/>
      <c r="S3" s="11" t="s">
        <v>70</v>
      </c>
    </row>
    <row r="4" spans="1:20" x14ac:dyDescent="0.3">
      <c r="A4" t="s">
        <v>10</v>
      </c>
      <c r="B4" t="s">
        <v>38</v>
      </c>
      <c r="C4">
        <v>66</v>
      </c>
      <c r="D4" t="s">
        <v>33</v>
      </c>
      <c r="E4" t="s">
        <v>43</v>
      </c>
      <c r="F4" t="s">
        <v>49</v>
      </c>
      <c r="G4" t="s">
        <v>61</v>
      </c>
      <c r="H4">
        <v>2</v>
      </c>
      <c r="I4" t="s">
        <v>52</v>
      </c>
      <c r="J4" t="str">
        <f t="shared" si="0"/>
        <v>NO</v>
      </c>
      <c r="K4" s="13"/>
      <c r="M4" s="21" t="s">
        <v>56</v>
      </c>
      <c r="N4" s="21"/>
      <c r="O4" s="10">
        <f>O3/O2</f>
        <v>0.68</v>
      </c>
      <c r="Q4" s="1" t="s">
        <v>59</v>
      </c>
      <c r="S4">
        <f>COUNTIF(G2:G26,"SKIN&amp;SUBCUTANEOUS TISSUE DISORDERS")</f>
        <v>8</v>
      </c>
    </row>
    <row r="5" spans="1:20" x14ac:dyDescent="0.3">
      <c r="A5" t="s">
        <v>11</v>
      </c>
      <c r="B5" t="s">
        <v>36</v>
      </c>
      <c r="C5">
        <v>70</v>
      </c>
      <c r="D5" t="s">
        <v>33</v>
      </c>
      <c r="E5" t="s">
        <v>44</v>
      </c>
      <c r="F5" t="s">
        <v>50</v>
      </c>
      <c r="G5" t="s">
        <v>62</v>
      </c>
      <c r="H5">
        <v>7</v>
      </c>
      <c r="I5" t="s">
        <v>51</v>
      </c>
      <c r="J5" t="str">
        <f t="shared" si="0"/>
        <v>YES</v>
      </c>
      <c r="K5" s="13"/>
      <c r="Q5" s="1" t="s">
        <v>60</v>
      </c>
      <c r="S5">
        <f>COUNTIF(G2:G26,"GASTROINTESTINAL DISORDERS")</f>
        <v>8</v>
      </c>
    </row>
    <row r="6" spans="1:20" x14ac:dyDescent="0.3">
      <c r="A6" t="s">
        <v>12</v>
      </c>
      <c r="B6" t="s">
        <v>39</v>
      </c>
      <c r="C6">
        <v>34</v>
      </c>
      <c r="D6" t="s">
        <v>33</v>
      </c>
      <c r="E6" t="s">
        <v>41</v>
      </c>
      <c r="F6" t="s">
        <v>46</v>
      </c>
      <c r="G6" t="s">
        <v>59</v>
      </c>
      <c r="H6">
        <v>2</v>
      </c>
      <c r="I6" t="s">
        <v>51</v>
      </c>
      <c r="J6" t="str">
        <f t="shared" si="0"/>
        <v>NO</v>
      </c>
      <c r="K6" s="13"/>
      <c r="Q6" s="1" t="s">
        <v>68</v>
      </c>
      <c r="S6">
        <f>COUNTIF(G2:G26,"NERVOUS SYSTEM DISORDERS")</f>
        <v>3</v>
      </c>
    </row>
    <row r="7" spans="1:20" x14ac:dyDescent="0.3">
      <c r="A7" t="s">
        <v>13</v>
      </c>
      <c r="B7" t="s">
        <v>40</v>
      </c>
      <c r="C7">
        <v>20</v>
      </c>
      <c r="D7" t="s">
        <v>34</v>
      </c>
      <c r="E7" t="s">
        <v>41</v>
      </c>
      <c r="F7" t="s">
        <v>46</v>
      </c>
      <c r="G7" t="s">
        <v>59</v>
      </c>
      <c r="H7">
        <v>2</v>
      </c>
      <c r="I7" t="s">
        <v>51</v>
      </c>
      <c r="J7" t="str">
        <f t="shared" si="0"/>
        <v>NO</v>
      </c>
      <c r="K7" s="13"/>
      <c r="Q7" s="1" t="s">
        <v>62</v>
      </c>
      <c r="S7">
        <f>COUNTIF(G2:G26,"METABOLISM AND NUTRITION DISORDERS")</f>
        <v>6</v>
      </c>
    </row>
    <row r="8" spans="1:20" x14ac:dyDescent="0.3">
      <c r="A8" t="s">
        <v>14</v>
      </c>
      <c r="B8" t="s">
        <v>37</v>
      </c>
      <c r="C8">
        <v>22</v>
      </c>
      <c r="D8" t="s">
        <v>33</v>
      </c>
      <c r="E8" t="s">
        <v>42</v>
      </c>
      <c r="F8" t="s">
        <v>47</v>
      </c>
      <c r="G8" t="s">
        <v>60</v>
      </c>
      <c r="H8">
        <v>5</v>
      </c>
      <c r="I8" t="s">
        <v>51</v>
      </c>
      <c r="J8" t="str">
        <f t="shared" si="0"/>
        <v>YES</v>
      </c>
      <c r="K8" s="13"/>
    </row>
    <row r="9" spans="1:20" x14ac:dyDescent="0.3">
      <c r="A9" t="s">
        <v>15</v>
      </c>
      <c r="B9" t="s">
        <v>39</v>
      </c>
      <c r="C9">
        <v>34</v>
      </c>
      <c r="D9" t="s">
        <v>34</v>
      </c>
      <c r="E9" t="s">
        <v>42</v>
      </c>
      <c r="F9" t="s">
        <v>47</v>
      </c>
      <c r="G9" t="s">
        <v>60</v>
      </c>
      <c r="H9">
        <v>5</v>
      </c>
      <c r="I9" t="s">
        <v>51</v>
      </c>
      <c r="J9" t="str">
        <f t="shared" si="0"/>
        <v>YES</v>
      </c>
      <c r="K9" s="13"/>
    </row>
    <row r="10" spans="1:20" x14ac:dyDescent="0.3">
      <c r="A10" t="s">
        <v>16</v>
      </c>
      <c r="B10" t="s">
        <v>36</v>
      </c>
      <c r="C10">
        <v>32</v>
      </c>
      <c r="D10" t="s">
        <v>33</v>
      </c>
      <c r="E10" t="s">
        <v>42</v>
      </c>
      <c r="F10" t="s">
        <v>47</v>
      </c>
      <c r="G10" t="s">
        <v>60</v>
      </c>
      <c r="H10">
        <v>5</v>
      </c>
      <c r="I10" t="s">
        <v>51</v>
      </c>
      <c r="J10" t="str">
        <f t="shared" si="0"/>
        <v>YES</v>
      </c>
      <c r="K10" s="13"/>
      <c r="M10" s="22" t="s">
        <v>55</v>
      </c>
      <c r="N10" s="23"/>
      <c r="O10" s="5" t="str" cm="1">
        <f t="array" ref="O10:O14">_xlfn.UNIQUE(B2:B26)</f>
        <v>INDIA</v>
      </c>
    </row>
    <row r="11" spans="1:20" x14ac:dyDescent="0.3">
      <c r="A11" t="s">
        <v>17</v>
      </c>
      <c r="B11" t="s">
        <v>36</v>
      </c>
      <c r="C11">
        <v>22</v>
      </c>
      <c r="D11" t="s">
        <v>33</v>
      </c>
      <c r="E11" t="s">
        <v>42</v>
      </c>
      <c r="F11" t="s">
        <v>47</v>
      </c>
      <c r="G11" t="s">
        <v>60</v>
      </c>
      <c r="H11">
        <v>5</v>
      </c>
      <c r="I11" t="s">
        <v>51</v>
      </c>
      <c r="J11" t="str">
        <f t="shared" si="0"/>
        <v>YES</v>
      </c>
      <c r="K11" s="13"/>
      <c r="M11" s="23"/>
      <c r="N11" s="23"/>
      <c r="O11" s="5" t="str">
        <v>AUSTRALIA</v>
      </c>
    </row>
    <row r="12" spans="1:20" x14ac:dyDescent="0.3">
      <c r="A12" t="s">
        <v>18</v>
      </c>
      <c r="B12" t="s">
        <v>36</v>
      </c>
      <c r="C12">
        <v>26</v>
      </c>
      <c r="D12" t="s">
        <v>33</v>
      </c>
      <c r="E12" t="s">
        <v>41</v>
      </c>
      <c r="F12" t="s">
        <v>46</v>
      </c>
      <c r="G12" t="s">
        <v>59</v>
      </c>
      <c r="H12">
        <v>2</v>
      </c>
      <c r="I12" t="s">
        <v>51</v>
      </c>
      <c r="J12" t="str">
        <f t="shared" si="0"/>
        <v>NO</v>
      </c>
      <c r="K12" s="13"/>
      <c r="M12" s="23"/>
      <c r="N12" s="23"/>
      <c r="O12" s="5" t="str">
        <v>GERMANY</v>
      </c>
    </row>
    <row r="13" spans="1:20" x14ac:dyDescent="0.3">
      <c r="A13" t="s">
        <v>19</v>
      </c>
      <c r="B13" t="s">
        <v>36</v>
      </c>
      <c r="C13">
        <v>28</v>
      </c>
      <c r="D13" t="s">
        <v>34</v>
      </c>
      <c r="E13" t="s">
        <v>41</v>
      </c>
      <c r="F13" t="s">
        <v>46</v>
      </c>
      <c r="G13" t="s">
        <v>59</v>
      </c>
      <c r="H13">
        <v>2</v>
      </c>
      <c r="I13" t="s">
        <v>51</v>
      </c>
      <c r="J13" t="str">
        <f t="shared" si="0"/>
        <v>NO</v>
      </c>
      <c r="K13" s="13"/>
      <c r="M13" s="23"/>
      <c r="N13" s="23"/>
      <c r="O13" s="5" t="str">
        <v>JAPAN</v>
      </c>
    </row>
    <row r="14" spans="1:20" x14ac:dyDescent="0.3">
      <c r="A14" t="s">
        <v>20</v>
      </c>
      <c r="B14" t="s">
        <v>36</v>
      </c>
      <c r="C14">
        <v>45</v>
      </c>
      <c r="D14" t="s">
        <v>34</v>
      </c>
      <c r="E14" t="s">
        <v>45</v>
      </c>
      <c r="F14" t="s">
        <v>48</v>
      </c>
      <c r="G14" t="s">
        <v>59</v>
      </c>
      <c r="H14">
        <v>10</v>
      </c>
      <c r="I14" t="s">
        <v>52</v>
      </c>
      <c r="J14" t="str">
        <f t="shared" si="0"/>
        <v>YES</v>
      </c>
      <c r="K14" s="13"/>
      <c r="M14" s="23"/>
      <c r="N14" s="23"/>
      <c r="O14" s="5" t="str">
        <v>CANADA</v>
      </c>
    </row>
    <row r="15" spans="1:20" x14ac:dyDescent="0.3">
      <c r="A15" t="s">
        <v>21</v>
      </c>
      <c r="B15" t="s">
        <v>36</v>
      </c>
      <c r="C15">
        <v>40</v>
      </c>
      <c r="D15" t="s">
        <v>34</v>
      </c>
      <c r="E15" t="s">
        <v>45</v>
      </c>
      <c r="F15" t="s">
        <v>48</v>
      </c>
      <c r="G15" t="s">
        <v>59</v>
      </c>
      <c r="H15">
        <v>10</v>
      </c>
      <c r="I15" t="s">
        <v>52</v>
      </c>
      <c r="J15" t="str">
        <f t="shared" si="0"/>
        <v>YES</v>
      </c>
      <c r="K15" s="13"/>
    </row>
    <row r="16" spans="1:20" ht="21" x14ac:dyDescent="0.4">
      <c r="A16" t="s">
        <v>22</v>
      </c>
      <c r="B16" t="s">
        <v>39</v>
      </c>
      <c r="C16">
        <v>55</v>
      </c>
      <c r="D16" t="s">
        <v>33</v>
      </c>
      <c r="E16" t="s">
        <v>45</v>
      </c>
      <c r="F16" t="s">
        <v>48</v>
      </c>
      <c r="G16" t="s">
        <v>59</v>
      </c>
      <c r="H16">
        <v>10</v>
      </c>
      <c r="I16" t="s">
        <v>52</v>
      </c>
      <c r="J16" t="str">
        <f t="shared" si="0"/>
        <v>YES</v>
      </c>
      <c r="K16" s="13"/>
      <c r="M16" s="15" t="s">
        <v>75</v>
      </c>
      <c r="N16" s="12"/>
      <c r="O16" s="12"/>
      <c r="Q16" s="14" t="s">
        <v>74</v>
      </c>
      <c r="R16" s="12"/>
      <c r="S16" s="12"/>
      <c r="T16" s="12"/>
    </row>
    <row r="17" spans="1:20" x14ac:dyDescent="0.3">
      <c r="A17" t="s">
        <v>23</v>
      </c>
      <c r="B17" t="s">
        <v>39</v>
      </c>
      <c r="C17">
        <v>36</v>
      </c>
      <c r="D17" t="s">
        <v>33</v>
      </c>
      <c r="E17" t="s">
        <v>42</v>
      </c>
      <c r="F17" t="s">
        <v>47</v>
      </c>
      <c r="G17" t="s">
        <v>60</v>
      </c>
      <c r="H17">
        <v>5</v>
      </c>
      <c r="I17" t="s">
        <v>51</v>
      </c>
      <c r="J17" t="str">
        <f t="shared" si="0"/>
        <v>YES</v>
      </c>
      <c r="K17" s="13"/>
      <c r="M17" s="16" t="s">
        <v>67</v>
      </c>
      <c r="N17" t="s">
        <v>64</v>
      </c>
      <c r="O17" s="4" t="s">
        <v>66</v>
      </c>
      <c r="Q17" s="7" t="s">
        <v>72</v>
      </c>
      <c r="R17" s="17" t="s">
        <v>72</v>
      </c>
      <c r="S17" s="13"/>
    </row>
    <row r="18" spans="1:20" x14ac:dyDescent="0.3">
      <c r="A18" t="s">
        <v>24</v>
      </c>
      <c r="B18" t="s">
        <v>37</v>
      </c>
      <c r="C18">
        <v>39</v>
      </c>
      <c r="D18" t="s">
        <v>34</v>
      </c>
      <c r="E18" t="s">
        <v>42</v>
      </c>
      <c r="F18" t="s">
        <v>47</v>
      </c>
      <c r="G18" t="s">
        <v>60</v>
      </c>
      <c r="H18">
        <v>5</v>
      </c>
      <c r="I18" t="s">
        <v>51</v>
      </c>
      <c r="J18" t="str">
        <f t="shared" si="0"/>
        <v>YES</v>
      </c>
      <c r="K18" s="13"/>
      <c r="M18" s="8" t="s">
        <v>37</v>
      </c>
      <c r="N18">
        <v>6</v>
      </c>
      <c r="O18" s="6">
        <f>GETPIVOTDATA("ADR",$M$17,"COUNTRY","AUSTRALIA")/GETPIVOTDATA("ADR",$M$17)</f>
        <v>0.24</v>
      </c>
      <c r="Q18" s="7" t="s">
        <v>73</v>
      </c>
      <c r="R18" s="18" t="s">
        <v>65</v>
      </c>
      <c r="S18" s="13" t="s">
        <v>63</v>
      </c>
      <c r="T18" t="s">
        <v>57</v>
      </c>
    </row>
    <row r="19" spans="1:20" x14ac:dyDescent="0.3">
      <c r="A19" t="s">
        <v>25</v>
      </c>
      <c r="B19" t="s">
        <v>37</v>
      </c>
      <c r="C19">
        <v>44</v>
      </c>
      <c r="D19" t="s">
        <v>34</v>
      </c>
      <c r="E19" t="s">
        <v>42</v>
      </c>
      <c r="F19" t="s">
        <v>47</v>
      </c>
      <c r="G19" t="s">
        <v>60</v>
      </c>
      <c r="H19">
        <v>5</v>
      </c>
      <c r="I19" t="s">
        <v>51</v>
      </c>
      <c r="J19" t="str">
        <f t="shared" si="0"/>
        <v>YES</v>
      </c>
      <c r="K19" s="13"/>
      <c r="M19" s="8" t="s">
        <v>40</v>
      </c>
      <c r="N19">
        <v>6</v>
      </c>
      <c r="O19" s="6">
        <f t="shared" ref="O19" si="1">GETPIVOTDATA("ADR",$M$17,"COUNTRY","AUSTRALIA")/GETPIVOTDATA("ADR",$M$17)</f>
        <v>0.24</v>
      </c>
      <c r="Q19" s="8" t="s">
        <v>45</v>
      </c>
      <c r="R19" s="18"/>
      <c r="S19" s="13">
        <v>3</v>
      </c>
      <c r="T19">
        <v>3</v>
      </c>
    </row>
    <row r="20" spans="1:20" x14ac:dyDescent="0.3">
      <c r="A20" t="s">
        <v>26</v>
      </c>
      <c r="B20" t="s">
        <v>37</v>
      </c>
      <c r="C20">
        <v>43</v>
      </c>
      <c r="D20" t="s">
        <v>33</v>
      </c>
      <c r="E20" t="s">
        <v>43</v>
      </c>
      <c r="F20" t="s">
        <v>49</v>
      </c>
      <c r="G20" t="s">
        <v>61</v>
      </c>
      <c r="H20">
        <v>2</v>
      </c>
      <c r="I20" t="s">
        <v>52</v>
      </c>
      <c r="J20" t="str">
        <f t="shared" si="0"/>
        <v>NO</v>
      </c>
      <c r="K20" s="13"/>
      <c r="M20" s="8" t="s">
        <v>38</v>
      </c>
      <c r="N20">
        <v>1</v>
      </c>
      <c r="O20" s="6">
        <f>GETPIVOTDATA("ADR",$M$17,"COUNTRY","GERMANY")/GETPIVOTDATA("ADR",$M$17)</f>
        <v>0.04</v>
      </c>
      <c r="Q20" s="8" t="s">
        <v>41</v>
      </c>
      <c r="R20" s="18">
        <v>5</v>
      </c>
      <c r="S20" s="13"/>
      <c r="T20">
        <v>5</v>
      </c>
    </row>
    <row r="21" spans="1:20" x14ac:dyDescent="0.3">
      <c r="A21" t="s">
        <v>27</v>
      </c>
      <c r="B21" t="s">
        <v>37</v>
      </c>
      <c r="C21">
        <v>32</v>
      </c>
      <c r="D21" t="s">
        <v>34</v>
      </c>
      <c r="E21" t="s">
        <v>43</v>
      </c>
      <c r="F21" t="s">
        <v>49</v>
      </c>
      <c r="G21" t="s">
        <v>61</v>
      </c>
      <c r="H21">
        <v>2</v>
      </c>
      <c r="I21" t="s">
        <v>52</v>
      </c>
      <c r="J21" t="str">
        <f t="shared" si="0"/>
        <v>NO</v>
      </c>
      <c r="K21" s="13"/>
      <c r="M21" s="8" t="s">
        <v>36</v>
      </c>
      <c r="N21">
        <v>8</v>
      </c>
      <c r="O21" s="6">
        <f>GETPIVOTDATA("ADR",$M$17,"COUNTRY","INDIA")/GETPIVOTDATA("ADR",$M$17)</f>
        <v>0.32</v>
      </c>
      <c r="Q21" s="8" t="s">
        <v>43</v>
      </c>
      <c r="R21" s="18">
        <v>3</v>
      </c>
      <c r="S21" s="13"/>
      <c r="T21">
        <v>3</v>
      </c>
    </row>
    <row r="22" spans="1:20" x14ac:dyDescent="0.3">
      <c r="A22" t="s">
        <v>28</v>
      </c>
      <c r="B22" t="s">
        <v>40</v>
      </c>
      <c r="C22">
        <v>38</v>
      </c>
      <c r="D22" t="s">
        <v>34</v>
      </c>
      <c r="E22" t="s">
        <v>44</v>
      </c>
      <c r="F22" t="s">
        <v>50</v>
      </c>
      <c r="G22" t="s">
        <v>62</v>
      </c>
      <c r="H22">
        <v>7</v>
      </c>
      <c r="I22" t="s">
        <v>51</v>
      </c>
      <c r="J22" t="str">
        <f t="shared" si="0"/>
        <v>YES</v>
      </c>
      <c r="K22" s="13"/>
      <c r="M22" s="8" t="s">
        <v>39</v>
      </c>
      <c r="N22">
        <v>4</v>
      </c>
      <c r="O22" s="6">
        <f>GETPIVOTDATA("ADR",$M$17,"COUNTRY","JAPAN")/GETPIVOTDATA("ADR",$M$17)</f>
        <v>0.16</v>
      </c>
      <c r="Q22" s="8" t="s">
        <v>42</v>
      </c>
      <c r="R22" s="18"/>
      <c r="S22" s="13">
        <v>8</v>
      </c>
      <c r="T22">
        <v>8</v>
      </c>
    </row>
    <row r="23" spans="1:20" x14ac:dyDescent="0.3">
      <c r="A23" t="s">
        <v>29</v>
      </c>
      <c r="B23" t="s">
        <v>40</v>
      </c>
      <c r="C23">
        <v>47</v>
      </c>
      <c r="D23" t="s">
        <v>33</v>
      </c>
      <c r="E23" t="s">
        <v>44</v>
      </c>
      <c r="F23" t="s">
        <v>50</v>
      </c>
      <c r="G23" t="s">
        <v>62</v>
      </c>
      <c r="H23">
        <v>7</v>
      </c>
      <c r="I23" t="s">
        <v>51</v>
      </c>
      <c r="J23" t="str">
        <f t="shared" si="0"/>
        <v>YES</v>
      </c>
      <c r="K23" s="13"/>
      <c r="M23" s="8" t="s">
        <v>57</v>
      </c>
      <c r="N23">
        <v>25</v>
      </c>
      <c r="O23" s="3"/>
      <c r="Q23" s="8" t="s">
        <v>44</v>
      </c>
      <c r="R23" s="18"/>
      <c r="S23" s="13">
        <v>6</v>
      </c>
      <c r="T23">
        <v>6</v>
      </c>
    </row>
    <row r="24" spans="1:20" x14ac:dyDescent="0.3">
      <c r="A24" t="s">
        <v>30</v>
      </c>
      <c r="B24" t="s">
        <v>40</v>
      </c>
      <c r="C24">
        <v>45</v>
      </c>
      <c r="D24" t="s">
        <v>33</v>
      </c>
      <c r="E24" t="s">
        <v>44</v>
      </c>
      <c r="F24" t="s">
        <v>50</v>
      </c>
      <c r="G24" t="s">
        <v>62</v>
      </c>
      <c r="H24">
        <v>7</v>
      </c>
      <c r="I24" t="s">
        <v>51</v>
      </c>
      <c r="J24" t="str">
        <f t="shared" si="0"/>
        <v>YES</v>
      </c>
      <c r="K24" s="13"/>
      <c r="Q24" s="8" t="s">
        <v>57</v>
      </c>
      <c r="R24" s="18">
        <v>8</v>
      </c>
      <c r="S24" s="13">
        <v>17</v>
      </c>
      <c r="T24">
        <v>25</v>
      </c>
    </row>
    <row r="25" spans="1:20" ht="18" x14ac:dyDescent="0.35">
      <c r="A25" t="s">
        <v>31</v>
      </c>
      <c r="B25" t="s">
        <v>40</v>
      </c>
      <c r="C25">
        <v>55</v>
      </c>
      <c r="D25" t="s">
        <v>33</v>
      </c>
      <c r="E25" t="s">
        <v>44</v>
      </c>
      <c r="F25" t="s">
        <v>50</v>
      </c>
      <c r="G25" t="s">
        <v>62</v>
      </c>
      <c r="H25">
        <v>7</v>
      </c>
      <c r="I25" t="s">
        <v>51</v>
      </c>
      <c r="J25" t="str">
        <f t="shared" si="0"/>
        <v>YES</v>
      </c>
      <c r="K25" s="13"/>
      <c r="M25" s="24"/>
      <c r="N25" s="24"/>
      <c r="O25" s="24"/>
    </row>
    <row r="26" spans="1:20" x14ac:dyDescent="0.3">
      <c r="A26" t="s">
        <v>32</v>
      </c>
      <c r="B26" t="s">
        <v>40</v>
      </c>
      <c r="C26">
        <v>53</v>
      </c>
      <c r="D26" t="s">
        <v>34</v>
      </c>
      <c r="E26" t="s">
        <v>44</v>
      </c>
      <c r="F26" t="s">
        <v>50</v>
      </c>
      <c r="G26" t="s">
        <v>62</v>
      </c>
      <c r="H26">
        <v>7</v>
      </c>
      <c r="I26" t="s">
        <v>51</v>
      </c>
      <c r="J26" t="str">
        <f t="shared" si="0"/>
        <v>YES</v>
      </c>
      <c r="K26" s="13"/>
    </row>
    <row r="27" spans="1:20" x14ac:dyDescent="0.3">
      <c r="K27" s="13"/>
    </row>
    <row r="28" spans="1:20" x14ac:dyDescent="0.3">
      <c r="K28" s="13"/>
    </row>
  </sheetData>
  <mergeCells count="7">
    <mergeCell ref="M25:O25"/>
    <mergeCell ref="Q3:R3"/>
    <mergeCell ref="Q2:S2"/>
    <mergeCell ref="M2:N2"/>
    <mergeCell ref="M3:N3"/>
    <mergeCell ref="M10:N14"/>
    <mergeCell ref="M4:N4"/>
  </mergeCells>
  <phoneticPr fontId="2" type="noConversion"/>
  <conditionalFormatting sqref="H2:H26">
    <cfRule type="cellIs" dxfId="2" priority="2" operator="lessThan">
      <formula>3</formula>
    </cfRule>
    <cfRule type="cellIs" dxfId="1" priority="3" operator="lessThan">
      <formula>2</formula>
    </cfRule>
  </conditionalFormatting>
  <conditionalFormatting sqref="J1:J1048576">
    <cfRule type="containsText" dxfId="0" priority="1" operator="containsText" text="YES">
      <formula>NOT(ISERROR(SEARCH("YES",J1)))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F06DF-61DD-4369-A84F-879843CB3818}">
  <dimension ref="A1"/>
  <sheetViews>
    <sheetView zoomScale="78" workbookViewId="0">
      <selection activeCell="P31" sqref="P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ADR_ANALYSIS</vt:lpstr>
      <vt:lpstr>ADR_ANALYSIS_VISUALIZATION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P</dc:creator>
  <cp:lastModifiedBy>SNEHA P</cp:lastModifiedBy>
  <dcterms:created xsi:type="dcterms:W3CDTF">2026-09-06T05:55:32Z</dcterms:created>
  <dcterms:modified xsi:type="dcterms:W3CDTF">2026-09-06T10:43:24Z</dcterms:modified>
</cp:coreProperties>
</file>